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long-term assumptions (based on public estimates, rounded)</t>
        </is>
      </c>
    </row>
    <row r="2">
      <c r="A2" s="1" t="inlineStr">
        <is>
          <t>Assumption</t>
        </is>
      </c>
      <c r="B2" t="inlineStr">
        <is>
          <t>2027E</t>
        </is>
      </c>
      <c r="C2" t="inlineStr">
        <is>
          <t>2028E</t>
        </is>
      </c>
      <c r="D2" t="inlineStr">
        <is>
          <t>2029E</t>
        </is>
      </c>
      <c r="E2" t="inlineStr">
        <is>
          <t>2030E</t>
        </is>
      </c>
      <c r="F2" t="inlineStr">
        <is>
          <t>2031E</t>
        </is>
      </c>
      <c r="G2" t="inlineStr">
        <is>
          <t>2032E</t>
        </is>
      </c>
    </row>
    <row r="3">
      <c r="A3" t="inlineStr">
        <is>
          <t>Revenue growth</t>
        </is>
      </c>
      <c r="B3" s="2" t="n">
        <v>0.87</v>
      </c>
      <c r="C3" s="2" t="n">
        <v>0.7</v>
      </c>
      <c r="D3" s="2" t="n">
        <v>0.27</v>
      </c>
      <c r="E3" s="2" t="n">
        <v>0.21</v>
      </c>
      <c r="F3" s="2" t="n">
        <v>0.14</v>
      </c>
      <c r="G3" s="2" t="n">
        <v>0.08</v>
      </c>
    </row>
    <row r="4">
      <c r="A4" t="inlineStr">
        <is>
          <t>Gross margin</t>
        </is>
      </c>
      <c r="B4" s="2" t="n">
        <v>0.745</v>
      </c>
      <c r="C4" s="2" t="n">
        <v>0.75</v>
      </c>
      <c r="D4" s="2" t="n">
        <v>0.75</v>
      </c>
      <c r="E4" s="2" t="n">
        <v>0.75</v>
      </c>
      <c r="F4" s="2" t="n">
        <v>0.75</v>
      </c>
      <c r="G4" s="2" t="n">
        <v>0.75</v>
      </c>
    </row>
    <row r="5">
      <c r="A5" t="inlineStr">
        <is>
          <t>R&amp;D % of revenue</t>
        </is>
      </c>
      <c r="B5" s="2" t="n">
        <v>0.063</v>
      </c>
      <c r="C5" s="2" t="n">
        <v>0.054</v>
      </c>
      <c r="D5" s="2" t="n">
        <v>0.05</v>
      </c>
      <c r="E5" s="2" t="n">
        <v>0.048</v>
      </c>
      <c r="F5" s="2" t="n">
        <v>0.047</v>
      </c>
      <c r="G5" s="2" t="n">
        <v>0.046</v>
      </c>
    </row>
    <row r="6">
      <c r="A6" t="inlineStr">
        <is>
          <t>Sales &amp; marketing % of revenue</t>
        </is>
      </c>
      <c r="B6" s="2" t="n">
        <v>0.014</v>
      </c>
      <c r="C6" s="2" t="n">
        <v>0.012</v>
      </c>
      <c r="D6" s="2" t="n">
        <v>0.012</v>
      </c>
      <c r="E6" s="2" t="n">
        <v>0.011</v>
      </c>
      <c r="F6" s="2" t="n">
        <v>0.011</v>
      </c>
      <c r="G6" s="2" t="n">
        <v>0.011</v>
      </c>
    </row>
    <row r="7">
      <c r="A7" t="inlineStr">
        <is>
          <t>G&amp;A % of revenue</t>
        </is>
      </c>
      <c r="B7" s="2" t="n">
        <v>0.007</v>
      </c>
      <c r="C7" s="2" t="n">
        <v>0.006</v>
      </c>
      <c r="D7" s="2" t="n">
        <v>0.006</v>
      </c>
      <c r="E7" s="2" t="n">
        <v>0.006</v>
      </c>
      <c r="F7" s="2" t="n">
        <v>0.006</v>
      </c>
      <c r="G7" s="2" t="n">
        <v>0.006</v>
      </c>
    </row>
    <row r="8">
      <c r="A8" t="inlineStr">
        <is>
          <t>Other opex % of revenue</t>
        </is>
      </c>
      <c r="B8" s="2" t="n">
        <v>0.003</v>
      </c>
      <c r="C8" s="2" t="n">
        <v>0.003</v>
      </c>
      <c r="D8" s="2" t="n">
        <v>0.002</v>
      </c>
      <c r="E8" s="2" t="n">
        <v>0.002</v>
      </c>
      <c r="F8" s="2" t="n">
        <v>0.002</v>
      </c>
      <c r="G8" s="2" t="n">
        <v>0.001</v>
      </c>
    </row>
    <row r="9">
      <c r="A9" t="inlineStr">
        <is>
          <t>D&amp;A % of revenue</t>
        </is>
      </c>
      <c r="B9" s="2" t="n">
        <v>0.006</v>
      </c>
      <c r="C9" s="2" t="n">
        <v>0.005</v>
      </c>
      <c r="D9" s="2" t="n">
        <v>0.005</v>
      </c>
      <c r="E9" s="2" t="n">
        <v>0.005</v>
      </c>
      <c r="F9" s="2" t="n">
        <v>0.005</v>
      </c>
      <c r="G9" s="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P&amp;L (USD bn, fiscal years, based on public estimates)</t>
        </is>
      </c>
    </row>
    <row r="2">
      <c r="A2" t="inlineStr">
        <is>
          <t>Line</t>
        </is>
      </c>
      <c r="B2" s="1" t="inlineStr">
        <is>
          <t>2025A</t>
        </is>
      </c>
      <c r="C2" s="1" t="inlineStr">
        <is>
          <t>2026A</t>
        </is>
      </c>
      <c r="D2" s="1" t="inlineStr">
        <is>
          <t>2027E</t>
        </is>
      </c>
      <c r="E2" s="1" t="inlineStr">
        <is>
          <t>2028E</t>
        </is>
      </c>
      <c r="F2" s="1" t="inlineStr">
        <is>
          <t>2029E</t>
        </is>
      </c>
      <c r="G2" s="1" t="inlineStr">
        <is>
          <t>2030E</t>
        </is>
      </c>
      <c r="H2" s="1" t="inlineStr">
        <is>
          <t>2031E</t>
        </is>
      </c>
      <c r="I2" s="1" t="inlineStr">
        <is>
          <t>2032E</t>
        </is>
      </c>
    </row>
    <row r="3">
      <c r="A3" t="inlineStr">
        <is>
          <t>Revenue</t>
        </is>
      </c>
      <c r="B3" s="3" t="n">
        <v>130.5</v>
      </c>
      <c r="C3" s="3" t="n">
        <v>215.9</v>
      </c>
      <c r="D3" s="3">
        <f>C3*(1+Assumptions!B3)</f>
        <v/>
      </c>
      <c r="E3" s="3">
        <f>D3*(1+Assumptions!C3)</f>
        <v/>
      </c>
      <c r="F3" s="3">
        <f>E3*(1+Assumptions!D3)</f>
        <v/>
      </c>
      <c r="G3" s="3">
        <f>F3*(1+Assumptions!E3)</f>
        <v/>
      </c>
      <c r="H3" s="3">
        <f>G3*(1+Assumptions!F3)</f>
        <v/>
      </c>
      <c r="I3" s="3">
        <f>H3*(1+Assumptions!G3)</f>
        <v/>
      </c>
    </row>
    <row r="4">
      <c r="A4" t="inlineStr">
        <is>
          <t>Cost of revenue</t>
        </is>
      </c>
      <c r="B4" s="3" t="n">
        <v>32.6</v>
      </c>
      <c r="C4" s="3" t="n">
        <v>62.5</v>
      </c>
      <c r="D4" s="3">
        <f>D3*(1-Assumptions!B4)</f>
        <v/>
      </c>
      <c r="E4" s="3">
        <f>E3*(1-Assumptions!C4)</f>
        <v/>
      </c>
      <c r="F4" s="3">
        <f>F3*(1-Assumptions!D4)</f>
        <v/>
      </c>
      <c r="G4" s="3">
        <f>G3*(1-Assumptions!E4)</f>
        <v/>
      </c>
      <c r="H4" s="3">
        <f>H3*(1-Assumptions!F4)</f>
        <v/>
      </c>
      <c r="I4" s="3">
        <f>I3*(1-Assumptions!G4)</f>
        <v/>
      </c>
    </row>
    <row r="5">
      <c r="A5" t="inlineStr">
        <is>
          <t>Gross profit</t>
        </is>
      </c>
      <c r="B5" s="3">
        <f>B3-B4</f>
        <v/>
      </c>
      <c r="C5" s="3">
        <f>C3-C4</f>
        <v/>
      </c>
      <c r="D5" s="3">
        <f>D3-D4</f>
        <v/>
      </c>
      <c r="E5" s="3">
        <f>E3-E4</f>
        <v/>
      </c>
      <c r="F5" s="3">
        <f>F3-F4</f>
        <v/>
      </c>
      <c r="G5" s="3">
        <f>G3-G4</f>
        <v/>
      </c>
      <c r="H5" s="3">
        <f>H3-H4</f>
        <v/>
      </c>
      <c r="I5" s="3">
        <f>I3-I4</f>
        <v/>
      </c>
    </row>
    <row r="6">
      <c r="A6" t="inlineStr">
        <is>
          <t>Gross margin</t>
        </is>
      </c>
      <c r="B6" s="2">
        <f>B5/B3</f>
        <v/>
      </c>
      <c r="C6" s="2">
        <f>C5/C3</f>
        <v/>
      </c>
      <c r="D6" s="2">
        <f>D5/D3</f>
        <v/>
      </c>
      <c r="E6" s="2">
        <f>E5/E3</f>
        <v/>
      </c>
      <c r="F6" s="2">
        <f>F5/F3</f>
        <v/>
      </c>
      <c r="G6" s="2">
        <f>G5/G3</f>
        <v/>
      </c>
      <c r="H6" s="2">
        <f>H5/H3</f>
        <v/>
      </c>
      <c r="I6" s="2">
        <f>I5/I3</f>
        <v/>
      </c>
    </row>
    <row r="7">
      <c r="A7" t="inlineStr">
        <is>
          <t>R&amp;D</t>
        </is>
      </c>
      <c r="B7" s="3" t="n">
        <v>12.9</v>
      </c>
      <c r="C7" s="3" t="n">
        <v>18.5</v>
      </c>
      <c r="D7" s="3">
        <f>D3*Assumptions!B5</f>
        <v/>
      </c>
      <c r="E7" s="3">
        <f>E3*Assumptions!C5</f>
        <v/>
      </c>
      <c r="F7" s="3">
        <f>F3*Assumptions!D5</f>
        <v/>
      </c>
      <c r="G7" s="3">
        <f>G3*Assumptions!E5</f>
        <v/>
      </c>
      <c r="H7" s="3">
        <f>H3*Assumptions!F5</f>
        <v/>
      </c>
      <c r="I7" s="3">
        <f>I3*Assumptions!G5</f>
        <v/>
      </c>
    </row>
    <row r="8">
      <c r="A8" t="inlineStr">
        <is>
          <t>Sales &amp; marketing</t>
        </is>
      </c>
      <c r="B8" s="3" t="n">
        <v>2.1</v>
      </c>
      <c r="C8" s="3" t="n">
        <v>2.6</v>
      </c>
      <c r="D8" s="3">
        <f>D3*Assumptions!B6</f>
        <v/>
      </c>
      <c r="E8" s="3">
        <f>E3*Assumptions!C6</f>
        <v/>
      </c>
      <c r="F8" s="3">
        <f>F3*Assumptions!D6</f>
        <v/>
      </c>
      <c r="G8" s="3">
        <f>G3*Assumptions!E6</f>
        <v/>
      </c>
      <c r="H8" s="3">
        <f>H3*Assumptions!F6</f>
        <v/>
      </c>
      <c r="I8" s="3">
        <f>I3*Assumptions!G6</f>
        <v/>
      </c>
    </row>
    <row r="9">
      <c r="A9" t="inlineStr">
        <is>
          <t>General &amp; administrative</t>
        </is>
      </c>
      <c r="B9" s="3" t="n">
        <v>1.4</v>
      </c>
      <c r="C9" s="3" t="n">
        <v>2</v>
      </c>
      <c r="D9" s="3">
        <f>D3*Assumptions!B7</f>
        <v/>
      </c>
      <c r="E9" s="3">
        <f>E3*Assumptions!C7</f>
        <v/>
      </c>
      <c r="F9" s="3">
        <f>F3*Assumptions!D7</f>
        <v/>
      </c>
      <c r="G9" s="3">
        <f>G3*Assumptions!E7</f>
        <v/>
      </c>
      <c r="H9" s="3">
        <f>H3*Assumptions!F7</f>
        <v/>
      </c>
      <c r="I9" s="3">
        <f>I3*Assumptions!G7</f>
        <v/>
      </c>
    </row>
    <row r="10">
      <c r="A10" t="inlineStr">
        <is>
          <t>Other operating expenses</t>
        </is>
      </c>
      <c r="B10" s="3" t="n">
        <v>0</v>
      </c>
      <c r="C10" s="3" t="n">
        <v>0</v>
      </c>
      <c r="D10" s="3">
        <f>D3*Assumptions!B8</f>
        <v/>
      </c>
      <c r="E10" s="3">
        <f>E3*Assumptions!C8</f>
        <v/>
      </c>
      <c r="F10" s="3">
        <f>F3*Assumptions!D8</f>
        <v/>
      </c>
      <c r="G10" s="3">
        <f>G3*Assumptions!E8</f>
        <v/>
      </c>
      <c r="H10" s="3">
        <f>H3*Assumptions!F8</f>
        <v/>
      </c>
      <c r="I10" s="3">
        <f>I3*Assumptions!G8</f>
        <v/>
      </c>
    </row>
    <row r="11">
      <c r="A11" t="inlineStr">
        <is>
          <t>Total operating expenses</t>
        </is>
      </c>
      <c r="B11" s="3">
        <f>SUM(B7:B10)</f>
        <v/>
      </c>
      <c r="C11" s="3">
        <f>SUM(C7:C10)</f>
        <v/>
      </c>
      <c r="D11" s="3">
        <f>SUM(D7:D10)</f>
        <v/>
      </c>
      <c r="E11" s="3">
        <f>SUM(E7:E10)</f>
        <v/>
      </c>
      <c r="F11" s="3">
        <f>SUM(F7:F10)</f>
        <v/>
      </c>
      <c r="G11" s="3" t="n">
        <v>45</v>
      </c>
      <c r="H11" s="3">
        <f>SUM(H7:H10)</f>
        <v/>
      </c>
      <c r="I11" s="3">
        <f>SUM(I7:I10)</f>
        <v/>
      </c>
    </row>
    <row r="12">
      <c r="A12" t="inlineStr">
        <is>
          <t>EBITDA</t>
        </is>
      </c>
      <c r="B12" s="3">
        <f>B15+B14</f>
        <v/>
      </c>
      <c r="C12" s="3">
        <f>C15+C14</f>
        <v/>
      </c>
      <c r="D12" s="3">
        <f>D15+D14</f>
        <v/>
      </c>
      <c r="E12" s="3">
        <f>E15+E14</f>
        <v/>
      </c>
      <c r="F12" s="3">
        <f>F15+F14</f>
        <v/>
      </c>
      <c r="G12" s="3">
        <f>G15+G14</f>
        <v/>
      </c>
      <c r="H12" s="3">
        <f>H15+H14</f>
        <v/>
      </c>
      <c r="I12" s="3">
        <f>I15+I14</f>
        <v/>
      </c>
    </row>
    <row r="13">
      <c r="A13" t="inlineStr">
        <is>
          <t>EBITDA margin</t>
        </is>
      </c>
      <c r="B13" s="2">
        <f>B12/B3</f>
        <v/>
      </c>
      <c r="C13" s="2">
        <f>C12/C3</f>
        <v/>
      </c>
      <c r="D13" s="2">
        <f>D12/D3</f>
        <v/>
      </c>
      <c r="E13" s="2">
        <f>E12/E3</f>
        <v/>
      </c>
      <c r="F13" s="2">
        <f>F12/F3</f>
        <v/>
      </c>
      <c r="G13" s="2">
        <f>G12/G3</f>
        <v/>
      </c>
      <c r="H13" s="2">
        <f>H12/H3</f>
        <v/>
      </c>
      <c r="I13" s="2">
        <f>I12/I3</f>
        <v/>
      </c>
    </row>
    <row r="14">
      <c r="A14" t="inlineStr">
        <is>
          <t>D&amp;A</t>
        </is>
      </c>
      <c r="B14" s="3" t="n">
        <v>1.9</v>
      </c>
      <c r="C14" s="3" t="n">
        <v>2.8</v>
      </c>
      <c r="D14" s="3">
        <f>D3*Assumptions!B9</f>
        <v/>
      </c>
      <c r="E14" s="3">
        <f>E3*Assumptions!C9</f>
        <v/>
      </c>
      <c r="F14" s="3">
        <f>F3*Assumptions!D9</f>
        <v/>
      </c>
      <c r="G14" s="3">
        <f>G3*Assumptions!E9</f>
        <v/>
      </c>
      <c r="H14" s="3">
        <f>H3*Assumptions!F9</f>
        <v/>
      </c>
      <c r="I14" s="3">
        <f>I3*Assumptions!G9</f>
        <v/>
      </c>
    </row>
    <row r="15">
      <c r="A15" t="inlineStr">
        <is>
          <t>EBIT</t>
        </is>
      </c>
      <c r="B15" s="3">
        <f>B5-B11</f>
        <v/>
      </c>
      <c r="C15" s="3">
        <f>C5-C11</f>
        <v/>
      </c>
      <c r="D15" s="3">
        <f>D5-D11</f>
        <v/>
      </c>
      <c r="E15" s="3">
        <f>E5-E11</f>
        <v/>
      </c>
      <c r="F15" s="3">
        <f>F5-F11</f>
        <v/>
      </c>
      <c r="G15" s="3">
        <f>G5-G11</f>
        <v/>
      </c>
      <c r="H15" s="3">
        <f>H5-H11</f>
        <v/>
      </c>
      <c r="I15" s="3">
        <f>I5-I11</f>
        <v/>
      </c>
    </row>
    <row r="16">
      <c r="A16" t="inlineStr">
        <is>
          <t>EBIT margin</t>
        </is>
      </c>
      <c r="B16" s="2">
        <f>B15/B3</f>
        <v/>
      </c>
      <c r="C16" s="2">
        <f>C15/C3</f>
        <v/>
      </c>
      <c r="D16" s="2">
        <f>D15/D3</f>
        <v/>
      </c>
      <c r="E16" s="2">
        <f>E15/E3</f>
        <v/>
      </c>
      <c r="F16" s="2">
        <f>F15/F3</f>
        <v/>
      </c>
      <c r="G16" s="2">
        <f>G15/G3</f>
        <v/>
      </c>
      <c r="H16" s="2">
        <f>H15/H3</f>
        <v/>
      </c>
      <c r="I16" s="2">
        <f>I15/I3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2026-10-11T21:19:11Z</dcterms:created>
  <dcterms:modified xsi:type="dcterms:W3CDTF">2026-10-11T21:19:11Z</dcterms:modified>
</cp:coreProperties>
</file>