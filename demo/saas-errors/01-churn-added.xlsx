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SaaS subscription forecast (EUR k unless stated)</t>
        </is>
      </c>
    </row>
    <row r="3">
      <c r="B3" t="inlineStr">
        <is>
          <t>Unit</t>
        </is>
      </c>
      <c r="C3" t="inlineStr">
        <is>
          <t>2025E</t>
        </is>
      </c>
      <c r="D3" t="inlineStr">
        <is>
          <t>2026E</t>
        </is>
      </c>
      <c r="E3" t="inlineStr">
        <is>
          <t>2027E</t>
        </is>
      </c>
      <c r="F3" t="inlineStr">
        <is>
          <t>2028E</t>
        </is>
      </c>
      <c r="G3" t="inlineStr">
        <is>
          <t>2029E</t>
        </is>
      </c>
    </row>
    <row r="4">
      <c r="A4" t="inlineStr">
        <is>
          <t>Opening customers</t>
        </is>
      </c>
      <c r="B4" t="inlineStr">
        <is>
          <t>#</t>
        </is>
      </c>
      <c r="C4" t="n">
        <v>1200</v>
      </c>
      <c r="D4">
        <f>C7</f>
        <v/>
      </c>
      <c r="E4">
        <f>D7</f>
        <v/>
      </c>
      <c r="F4">
        <f>E7</f>
        <v/>
      </c>
      <c r="G4">
        <f>F7</f>
        <v/>
      </c>
    </row>
    <row r="5">
      <c r="A5" t="inlineStr">
        <is>
          <t>New customers</t>
        </is>
      </c>
      <c r="B5" t="inlineStr">
        <is>
          <t>#</t>
        </is>
      </c>
      <c r="C5" t="n">
        <v>400</v>
      </c>
      <c r="D5" t="n">
        <v>450</v>
      </c>
      <c r="E5" t="n">
        <v>500</v>
      </c>
      <c r="F5" t="n">
        <v>540</v>
      </c>
      <c r="G5" t="n">
        <v>580</v>
      </c>
    </row>
    <row r="6">
      <c r="A6" t="inlineStr">
        <is>
          <t>Churned customers</t>
        </is>
      </c>
      <c r="B6" t="inlineStr">
        <is>
          <t>#</t>
        </is>
      </c>
      <c r="C6" t="n">
        <v>60</v>
      </c>
      <c r="D6" t="n">
        <v>75</v>
      </c>
      <c r="E6" t="n">
        <v>90</v>
      </c>
      <c r="F6" t="n">
        <v>100</v>
      </c>
      <c r="G6" t="n">
        <v>110</v>
      </c>
    </row>
    <row r="7">
      <c r="A7" t="inlineStr">
        <is>
          <t>Closing customers</t>
        </is>
      </c>
      <c r="B7" t="inlineStr">
        <is>
          <t>#</t>
        </is>
      </c>
      <c r="C7">
        <f>C4+C5+C6</f>
        <v/>
      </c>
      <c r="D7">
        <f>D4+D5+D6</f>
        <v/>
      </c>
      <c r="E7">
        <f>E4+E5+E6</f>
        <v/>
      </c>
      <c r="F7">
        <f>F4+F5+F6</f>
        <v/>
      </c>
      <c r="G7">
        <f>G4+G5+G6</f>
        <v/>
      </c>
    </row>
    <row r="8">
      <c r="A8" t="inlineStr">
        <is>
          <t>Monthly price per customer</t>
        </is>
      </c>
      <c r="B8" t="inlineStr">
        <is>
          <t>EUR</t>
        </is>
      </c>
      <c r="C8" t="n">
        <v>49</v>
      </c>
      <c r="D8" t="n">
        <v>49</v>
      </c>
      <c r="E8" t="n">
        <v>52</v>
      </c>
      <c r="F8" t="n">
        <v>52</v>
      </c>
      <c r="G8" t="n">
        <v>55</v>
      </c>
    </row>
    <row r="9">
      <c r="A9" t="inlineStr">
        <is>
          <t>Annual revenue</t>
        </is>
      </c>
      <c r="B9" t="inlineStr">
        <is>
          <t>EUR k</t>
        </is>
      </c>
      <c r="C9">
        <f>C7*C8*12/1000</f>
        <v/>
      </c>
      <c r="D9">
        <f>D7*D8*12/1000</f>
        <v/>
      </c>
      <c r="E9">
        <f>E7*E8*12/1000</f>
        <v/>
      </c>
      <c r="F9">
        <f>F7*F8*12/1000</f>
        <v/>
      </c>
      <c r="G9">
        <f>G7*G8*12/1000</f>
        <v/>
      </c>
    </row>
    <row r="10">
      <c r="A10" t="inlineStr">
        <is>
          <t>Hosting costs</t>
        </is>
      </c>
      <c r="B10" t="inlineStr">
        <is>
          <t>EUR k</t>
        </is>
      </c>
      <c r="C10" t="n">
        <v>180</v>
      </c>
      <c r="D10" t="n">
        <v>220</v>
      </c>
      <c r="E10" t="n">
        <v>260</v>
      </c>
      <c r="F10" t="n">
        <v>300</v>
      </c>
      <c r="G10" t="n">
        <v>340</v>
      </c>
    </row>
    <row r="11">
      <c r="A11" t="inlineStr">
        <is>
          <t>Support costs</t>
        </is>
      </c>
      <c r="B11" t="inlineStr">
        <is>
          <t>EUR k</t>
        </is>
      </c>
      <c r="C11" t="n">
        <v>90</v>
      </c>
      <c r="D11" t="n">
        <v>105</v>
      </c>
      <c r="E11" t="n">
        <v>120</v>
      </c>
      <c r="F11" t="n">
        <v>135</v>
      </c>
      <c r="G11" t="n">
        <v>150</v>
      </c>
    </row>
    <row r="12">
      <c r="A12" t="inlineStr">
        <is>
          <t>Total cost of service</t>
        </is>
      </c>
      <c r="B12" t="inlineStr">
        <is>
          <t>EUR k</t>
        </is>
      </c>
      <c r="C12">
        <f>C10+C11</f>
        <v/>
      </c>
      <c r="D12">
        <f>D10+D11</f>
        <v/>
      </c>
      <c r="E12">
        <f>E10+E11</f>
        <v/>
      </c>
      <c r="F12">
        <f>F10+F11</f>
        <v/>
      </c>
      <c r="G12">
        <f>G10+G11</f>
        <v/>
      </c>
    </row>
    <row r="13">
      <c r="A13" t="inlineStr">
        <is>
          <t>Contribution margin</t>
        </is>
      </c>
      <c r="B13" t="inlineStr">
        <is>
          <t>EUR k</t>
        </is>
      </c>
      <c r="C13">
        <f>C9-C12</f>
        <v/>
      </c>
      <c r="D13">
        <f>D9-D12</f>
        <v/>
      </c>
      <c r="E13">
        <f>E9-E12</f>
        <v/>
      </c>
      <c r="F13">
        <f>F9-F12</f>
        <v/>
      </c>
      <c r="G13">
        <f>G9-G12</f>
        <v/>
      </c>
    </row>
    <row r="14">
      <c r="A14" t="inlineStr">
        <is>
          <t>Contribution margin %</t>
        </is>
      </c>
      <c r="B14" t="inlineStr">
        <is>
          <t>%</t>
        </is>
      </c>
      <c r="C14">
        <f>C13/C9</f>
        <v/>
      </c>
      <c r="D14">
        <f>D13/D9</f>
        <v/>
      </c>
      <c r="E14">
        <f>E13/E9</f>
        <v/>
      </c>
      <c r="F14">
        <f>F13/F9</f>
        <v/>
      </c>
      <c r="G14">
        <f>G13/G9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2026-10-20T22:52:20Z</dcterms:created>
  <dcterms:modified xsi:type="dcterms:W3CDTF">2026-10-20T22:52:20Z</dcterms:modified>
</cp:coreProperties>
</file>