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BC1C519B-39E9-4F11-8475-B813744DE903}" xr6:coauthVersionLast="47" xr6:coauthVersionMax="47" xr10:uidLastSave="{00000000-0000-0000-0000-000000000000}"/>
  <bookViews>
    <workbookView xWindow="0" yWindow="0" windowWidth="16384" windowHeight="8192" tabRatio="500" firstSheet="4" activeTab="4" xr2:uid="{00000000-000D-0000-FFFF-FFFF00000000}"/>
  </bookViews>
  <sheets>
    <sheet name="Cover" sheetId="1" r:id="rId1"/>
    <sheet name="Inputs" sheetId="2" r:id="rId2"/>
    <sheet name="Calc" sheetId="3" r:id="rId3"/>
    <sheet name="Results" sheetId="4" r:id="rId4"/>
    <sheet name="Project View" sheetId="5" r:id="rId5"/>
  </sheets>
  <definedNames>
    <definedName name="COD">Inputs!$E$10</definedName>
    <definedName name="Demand">Inputs!$E$5</definedName>
    <definedName name="DiscRate">Inputs!$E$8</definedName>
    <definedName name="GridEsc">Inputs!$E$7</definedName>
    <definedName name="GridPrice">Inputs!$E$6</definedName>
    <definedName name="Hours">Inputs!$E$11</definedName>
    <definedName name="Scenario">Inputs!$E$12</definedName>
    <definedName name="ScenMult">Inputs!$E$13</definedName>
    <definedName name="Tenor">Inputs!$E$9</definedName>
  </definedNames>
  <calcPr fullCalcOnLoad="1"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<sst xmlns="http://schemas.openxmlformats.org/spreadsheetml/2006/main" count="302" uniqueCount="155">
  <si>
    <t>European Corporate PPA Evaluation Model</t>
  </si>
  <si>
    <t>Renewable PPA offers across Europe for XY Company</t>
  </si>
  <si>
    <t>Workbook map</t>
  </si>
  <si>
    <t>Assumptions</t>
  </si>
  <si>
    <t>Offtaker profile, financial settings, price scenario and the PPA offer register (all inputs).</t>
  </si>
  <si>
    <t>Calc</t>
  </si>
  <si>
    <t>Annual engine: timeline, generation, capture prices, CfD settlement, offtaker costs.</t>
  </si>
  <si>
    <t>Results</t>
  </si>
  <si>
    <t>Offer ranking, NPV, breakeven strike, hedge coverage and comparison charts.</t>
  </si>
  <si>
    <t>Project View</t>
  </si>
  <si>
    <t>Drill-down into one selected offer with its annual profile and charts.</t>
  </si>
  <si>
    <t>Units</t>
  </si>
  <si>
    <t>MWh</t>
  </si>
  <si>
    <t>Energy</t>
  </si>
  <si>
    <t>EUR/MWh</t>
  </si>
  <si>
    <t>Electricity prices</t>
  </si>
  <si>
    <t>EUR k</t>
  </si>
  <si>
    <t>Cash Flows</t>
  </si>
  <si>
    <t>Cell colour convention</t>
  </si>
  <si>
    <t>1,250</t>
  </si>
  <si>
    <t>Hardcoded input - edit these cells only</t>
  </si>
  <si>
    <t>Link to another sheet</t>
  </si>
  <si>
    <t>Formula on the same sheet</t>
  </si>
  <si>
    <t>Model integrity</t>
  </si>
  <si>
    <t>All checks</t>
  </si>
  <si>
    <t>Notes</t>
  </si>
  <si>
    <t>1. Positive settlement = the generator pays the offtaker (market above strike).</t>
  </si>
  <si>
    <t xml:space="preserve"> </t>
  </si>
  <si>
    <t>Inputs</t>
  </si>
  <si>
    <t>Main inputs of the model</t>
  </si>
  <si>
    <t>Offtaker &amp; financial settings</t>
  </si>
  <si>
    <t>Offtaker annual electricity demand</t>
  </si>
  <si>
    <t>Retail grid power price (year 1)</t>
  </si>
  <si>
    <t>Grid power price escalator</t>
  </si>
  <si>
    <t>%</t>
  </si>
  <si>
    <t>Discount rate</t>
  </si>
  <si>
    <t>PPA tenor</t>
  </si>
  <si>
    <t>years</t>
  </si>
  <si>
    <t>Commercial operation date</t>
  </si>
  <si>
    <t>date</t>
  </si>
  <si>
    <t>Hours per year</t>
  </si>
  <si>
    <t>hours</t>
  </si>
  <si>
    <t>Wholesale price scenario</t>
  </si>
  <si>
    <t>text</t>
  </si>
  <si>
    <t>Base</t>
  </si>
  <si>
    <t>Capture price multiplier (active)</t>
  </si>
  <si>
    <t>ratio</t>
  </si>
  <si>
    <t>Wholesale price scenarios</t>
  </si>
  <si>
    <t>Low</t>
  </si>
  <si>
    <t>High</t>
  </si>
  <si>
    <t>PPA offer register</t>
  </si>
  <si>
    <t>Offer ID</t>
  </si>
  <si>
    <t>Country</t>
  </si>
  <si>
    <t>Technology</t>
  </si>
  <si>
    <t>Capacity (MW)</t>
  </si>
  <si>
    <t>Capacity factor (%)</t>
  </si>
  <si>
    <t>Degradation (%)</t>
  </si>
  <si>
    <t>Peak gen. share (%)</t>
  </si>
  <si>
    <t>Off-peak gen. share (%)</t>
  </si>
  <si>
    <t>Peak capture price (EUR/MWh)</t>
  </si>
  <si>
    <t>Off-peak capture price (EUR/MWh)</t>
  </si>
  <si>
    <t>Wholesale escalator (%)</t>
  </si>
  <si>
    <t>PPA strike price (EUR/MWh)</t>
  </si>
  <si>
    <t>PPA indexation (%)</t>
  </si>
  <si>
    <t>Year-1 generation (MWh)</t>
  </si>
  <si>
    <t>Year-1 demand coverage (%)</t>
  </si>
  <si>
    <t>ES-PV1</t>
  </si>
  <si>
    <t>Spain</t>
  </si>
  <si>
    <t>Solar PV</t>
  </si>
  <si>
    <t>PT-PV1</t>
  </si>
  <si>
    <t>Portugal</t>
  </si>
  <si>
    <t>IT-PV1</t>
  </si>
  <si>
    <t>Italy (Sud)</t>
  </si>
  <si>
    <t>GR-PV1</t>
  </si>
  <si>
    <t>Greece</t>
  </si>
  <si>
    <t>FR-WN1</t>
  </si>
  <si>
    <t>France</t>
  </si>
  <si>
    <t>Onshore wind</t>
  </si>
  <si>
    <t>DE-WN1</t>
  </si>
  <si>
    <t>Germany</t>
  </si>
  <si>
    <t>NL-OW1</t>
  </si>
  <si>
    <t>Netherlands</t>
  </si>
  <si>
    <t>Offshore wind</t>
  </si>
  <si>
    <t>PL-WN1</t>
  </si>
  <si>
    <t>Poland</t>
  </si>
  <si>
    <t>SE-WN1</t>
  </si>
  <si>
    <t>Sweden (SE3)</t>
  </si>
  <si>
    <t>FI-WN1</t>
  </si>
  <si>
    <t>Finland</t>
  </si>
  <si>
    <t>1. All offer data are illustrative.</t>
  </si>
  <si>
    <t>2. Capture prices are the year-1 average wholesale prices realised by the technology's profile in peak and off-peak hours.</t>
  </si>
  <si>
    <t>3. Settlement is pay-as-produced: the offtaker receives (capture price - strike) x metered generation each year.</t>
  </si>
  <si>
    <t>4. Generation = capacity x capacity factor x hours x (1 - degradation)^(year - 1).</t>
  </si>
  <si>
    <t>Calculations</t>
  </si>
  <si>
    <t>Year-by-year calculations</t>
  </si>
  <si>
    <t>Total / avg</t>
  </si>
  <si>
    <t>Contract year</t>
  </si>
  <si>
    <t>#</t>
  </si>
  <si>
    <t>Calendar year</t>
  </si>
  <si>
    <t>year</t>
  </si>
  <si>
    <t>Operating flag</t>
  </si>
  <si>
    <t>flag</t>
  </si>
  <si>
    <t>Discount factor</t>
  </si>
  <si>
    <t>Offtaker baseline</t>
  </si>
  <si>
    <t>Electricity demand</t>
  </si>
  <si>
    <t>Retail grid power price</t>
  </si>
  <si>
    <t>Unhedged electricity cost</t>
  </si>
  <si>
    <t>Generation</t>
  </si>
  <si>
    <t>Demand coverage</t>
  </si>
  <si>
    <t>Capture price</t>
  </si>
  <si>
    <t>PPA strike price (indexed)</t>
  </si>
  <si>
    <t>Settlement spread (capture - strike)</t>
  </si>
  <si>
    <t>Market value of generation</t>
  </si>
  <si>
    <t>PPA strike payment</t>
  </si>
  <si>
    <t>VPPA settlement cash flow to offtaker</t>
  </si>
  <si>
    <t>Net electricity cost after VPPA</t>
  </si>
  <si>
    <t>Saving vs unhedged cost</t>
  </si>
  <si>
    <t>Checks (0 = OK)</t>
  </si>
  <si>
    <t>Operating years equal PPA tenor</t>
  </si>
  <si>
    <t>Settlement = market value - strike payment</t>
  </si>
  <si>
    <t>Net cost + settlement = unhedged cost</t>
  </si>
  <si>
    <t>Tenor within 20-year timeline</t>
  </si>
  <si>
    <t>Total check</t>
  </si>
  <si>
    <t>Offer ranking and valuation (discounted at the offtaker's rate)</t>
  </si>
  <si>
    <t>Headline</t>
  </si>
  <si>
    <t>Best offer by NPV</t>
  </si>
  <si>
    <t>NPV of best offer (EUR k)</t>
  </si>
  <si>
    <t>Offers with positive NPV</t>
  </si>
  <si>
    <t>Active price scenario</t>
  </si>
  <si>
    <t>Offer comparison</t>
  </si>
  <si>
    <t>Country / zone</t>
  </si>
  <si>
    <t>Lifetime gen. (GWh)</t>
  </si>
  <si>
    <t>Avg. coverage</t>
  </si>
  <si>
    <t>Avg. capture (EUR/MWh)</t>
  </si>
  <si>
    <t>Strike yr 1 (EUR/MWh)</t>
  </si>
  <si>
    <t>Avg. spread (EUR/MWh)</t>
  </si>
  <si>
    <t>Total settlement (EUR k)</t>
  </si>
  <si>
    <t>NPV (EUR k)</t>
  </si>
  <si>
    <t>NPV per MWh (EUR)</t>
  </si>
  <si>
    <t>Breakeven strike (EUR/MWh)</t>
  </si>
  <si>
    <t>Strike headroom (EUR/MWh)</t>
  </si>
  <si>
    <t>Avg. saving</t>
  </si>
  <si>
    <t>Rank</t>
  </si>
  <si>
    <t>Verdict</t>
  </si>
  <si>
    <t>Pick an offer to see its year-by-year profile</t>
  </si>
  <si>
    <t>Selected offer</t>
  </si>
  <si>
    <t>Position in register</t>
  </si>
  <si>
    <t>Country / technology</t>
  </si>
  <si>
    <t>Rank among offers</t>
  </si>
  <si>
    <t>Annual profile</t>
  </si>
  <si>
    <t>PPA strike</t>
  </si>
  <si>
    <t>Settlement spread</t>
  </si>
  <si>
    <t>VPPA settlement</t>
  </si>
  <si>
    <t>Net cost after VPPA</t>
  </si>
  <si>
    <t>Saving vs unhedged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</si>
</sst>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#,##0.0;\(#,##0.0\);\-"/>
    <numFmt numFmtId="166" formatCode="0.0%;\(0.0%\);\-"/>
    <numFmt numFmtId="167" formatCode="[$-409]dd\-mmm\-yyyy"/>
    <numFmt numFmtId="168" formatCode="0.00\x"/>
    <numFmt numFmtId="169" formatCode="#,##0.0"/>
    <numFmt numFmtId="170" formatCode="0.0000"/>
    <numFmt numFmtId="171" formatCode="###0;\(###0\);\-"/>
  </numFmts>
  <fonts count="17">
    <font>
      <sz val="11"/>
      <color theme="1"/>
      <name val="Arial"/>
      <family val="2"/>
      <charset val="1"/>
    </font>
    <font>
      <i/>
      <sz val="9"/>
      <color rgb="FFCFE9D9"/>
      <name val="Arial"/>
      <charset val="1"/>
    </font>
    <font>
      <b/>
      <sz val="10"/>
      <color rgb="FF0D5C33"/>
      <name val="Arial"/>
      <charset val="1"/>
    </font>
    <font>
      <sz val="9"/>
      <color rgb="FF111512"/>
      <name val="Arial"/>
      <charset val="1"/>
    </font>
    <font>
      <sz val="9"/>
      <color rgb="FF2563EB"/>
      <name val="Arial"/>
      <charset val="1"/>
    </font>
    <font>
      <sz val="9"/>
      <color rgb="FF12814A"/>
      <name val="Arial"/>
      <charset val="1"/>
    </font>
    <font>
      <b/>
      <sz val="9"/>
      <color rgb="FF12814A"/>
      <name val="Arial"/>
      <charset val="1"/>
    </font>
    <font>
      <i/>
      <sz val="8"/>
      <color rgb="FF5C645E"/>
      <name val="Arial"/>
      <charset val="1"/>
    </font>
    <font>
      <b/>
      <sz val="9"/>
      <color rgb="FF111512"/>
      <name val="Arial"/>
      <charset val="1"/>
    </font>
    <font>
      <b/>
      <sz val="9"/>
      <color rgb="FFFFFFFF"/>
      <name val="Arial"/>
      <charset val="1"/>
    </font>
    <font>
      <sz val="10"/>
      <name val="Arial"/>
      <family val="2"/>
    </font>
    <font>
      <b/>
      <sz val="9"/>
      <color rgb="FF000000"/>
      <name val="Arial"/>
      <charset val="1"/>
    </font>
    <font>
      <b/>
      <sz val="12"/>
      <color rgb="FFFFFFFF"/>
      <name val="Arial"/>
      <charset val="1"/>
    </font>
    <font>
      <i/>
      <sz val="9"/>
      <color rgb="FF5C645E"/>
      <name val="Arial"/>
      <charset val="1"/>
    </font>
    <font>
      <b/>
      <sz val="9"/>
      <color theme="1"/>
      <name val="Arial"/>
      <charset val="1"/>
    </font>
    <font>
      <sz val="9"/>
      <color theme="1"/>
      <name val="Arial"/>
      <charset val="1"/>
    </font>
    <font>
      <sz val="9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0D5C33"/>
      </patternFill>
    </fill>
    <fill>
      <patternFill patternType="solid">
        <fgColor rgb="FFFFF7D6"/>
      </patternFill>
    </fill>
    <fill>
      <patternFill patternType="solid">
        <fgColor rgb="FFEDF5F0"/>
      </patternFill>
    </fill>
    <fill>
      <patternFill patternType="solid">
        <fgColor rgb="FFF7FAF8"/>
      </patternFill>
    </fill>
    <fill>
      <patternFill patternType="solid">
        <fgColor rgb="FFF7FAF8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E4E6E2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165" fontId="4" fillId="3" borderId="1" xfId="0" applyNumberFormat="1" applyFont="1" applyFill="1" applyBorder="1" applyAlignment="1">
      <alignment horizontal="right"/>
    </xf>
    <xf numFmtId="166" fontId="4" fillId="3" borderId="1" xfId="0" applyNumberFormat="1" applyFont="1" applyFill="1" applyBorder="1" applyAlignment="1">
      <alignment horizontal="right"/>
    </xf>
    <xf numFmtId="0" fontId="9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169" fontId="4" fillId="3" borderId="1" xfId="0" applyNumberFormat="1" applyFont="1" applyFill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164" fontId="8" fillId="0" borderId="0" xfId="0" applyNumberFormat="1" applyFont="1"/>
    <xf numFmtId="164" fontId="5" fillId="0" borderId="0" xfId="0" applyNumberFormat="1" applyFont="1"/>
    <xf numFmtId="165" fontId="8" fillId="0" borderId="0" xfId="0" applyNumberFormat="1" applyFont="1"/>
    <xf numFmtId="165" fontId="5" fillId="0" borderId="0" xfId="0" applyNumberFormat="1" applyFont="1"/>
    <xf numFmtId="164" fontId="3" fillId="0" borderId="0" xfId="0" applyNumberFormat="1" applyFont="1"/>
    <xf numFmtId="0" fontId="5" fillId="0" borderId="0" xfId="0" applyFont="1"/>
    <xf numFmtId="0" fontId="5" fillId="5" borderId="0" xfId="0" applyFont="1" applyFill="1"/>
    <xf numFmtId="0" fontId="7" fillId="5" borderId="0" xfId="0" applyFont="1" applyFill="1"/>
    <xf numFmtId="164" fontId="8" fillId="5" borderId="0" xfId="0" applyNumberFormat="1" applyFont="1" applyFill="1"/>
    <xf numFmtId="0" fontId="0" fillId="5" borderId="0" xfId="0" applyFill="1"/>
    <xf numFmtId="166" fontId="8" fillId="0" borderId="0" xfId="0" applyNumberFormat="1" applyFont="1"/>
    <xf numFmtId="166" fontId="3" fillId="0" borderId="0" xfId="0" applyNumberFormat="1" applyFont="1"/>
    <xf numFmtId="166" fontId="8" fillId="5" borderId="0" xfId="0" applyNumberFormat="1" applyFont="1" applyFill="1"/>
    <xf numFmtId="166" fontId="3" fillId="5" borderId="0" xfId="0" applyNumberFormat="1" applyFont="1" applyFill="1"/>
    <xf numFmtId="165" fontId="8" fillId="5" borderId="0" xfId="0" applyNumberFormat="1" applyFont="1" applyFill="1"/>
    <xf numFmtId="165" fontId="3" fillId="0" borderId="0" xfId="0" applyNumberFormat="1" applyFont="1"/>
    <xf numFmtId="165" fontId="3" fillId="5" borderId="0" xfId="0" applyNumberFormat="1" applyFont="1" applyFill="1"/>
    <xf numFmtId="164" fontId="3" fillId="5" borderId="0" xfId="0" applyNumberFormat="1" applyFont="1" applyFill="1"/>
    <xf numFmtId="0" fontId="5" fillId="0" borderId="1" xfId="0" applyFont="1" applyBorder="1"/>
    <xf numFmtId="169" fontId="5" fillId="0" borderId="1" xfId="0" applyNumberFormat="1" applyFon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164" fontId="5" fillId="0" borderId="1" xfId="0" applyNumberFormat="1" applyFont="1" applyBorder="1"/>
    <xf numFmtId="165" fontId="3" fillId="0" borderId="1" xfId="0" applyNumberFormat="1" applyFont="1" applyBorder="1"/>
    <xf numFmtId="1" fontId="3" fillId="0" borderId="1" xfId="0" applyNumberFormat="1" applyFont="1" applyBorder="1"/>
    <xf numFmtId="0" fontId="3" fillId="0" borderId="1" xfId="0" applyFont="1" applyBorder="1"/>
    <xf numFmtId="0" fontId="5" fillId="5" borderId="1" xfId="0" applyFont="1" applyFill="1" applyBorder="1"/>
    <xf numFmtId="169" fontId="5" fillId="5" borderId="1" xfId="0" applyNumberFormat="1" applyFont="1" applyFill="1" applyBorder="1"/>
    <xf numFmtId="166" fontId="5" fillId="5" borderId="1" xfId="0" applyNumberFormat="1" applyFont="1" applyFill="1" applyBorder="1"/>
    <xf numFmtId="165" fontId="5" fillId="5" borderId="1" xfId="0" applyNumberFormat="1" applyFont="1" applyFill="1" applyBorder="1"/>
    <xf numFmtId="164" fontId="5" fillId="5" borderId="1" xfId="0" applyNumberFormat="1" applyFont="1" applyFill="1" applyBorder="1"/>
    <xf numFmtId="165" fontId="3" fillId="5" borderId="1" xfId="0" applyNumberFormat="1" applyFont="1" applyFill="1" applyBorder="1"/>
    <xf numFmtId="1" fontId="3" fillId="5" borderId="1" xfId="0" applyNumberFormat="1" applyFont="1" applyFill="1" applyBorder="1"/>
    <xf numFmtId="0" fontId="3" fillId="5" borderId="1" xfId="0" applyFont="1" applyFill="1" applyBorder="1"/>
    <xf numFmtId="164" fontId="6" fillId="0" borderId="0" xfId="0" applyNumberFormat="1" applyFont="1"/>
    <xf numFmtId="166" fontId="6" fillId="0" borderId="0" xfId="0" applyNumberFormat="1" applyFont="1"/>
    <xf numFmtId="166" fontId="5" fillId="0" borderId="0" xfId="0" applyNumberFormat="1" applyFont="1"/>
    <xf numFmtId="165" fontId="6" fillId="0" borderId="0" xfId="0" applyNumberFormat="1" applyFont="1"/>
    <xf numFmtId="0" fontId="11" fillId="0" borderId="0" xfId="0" applyFont="1"/>
    <xf numFmtId="0" fontId="3" fillId="0" borderId="2" xfId="0" applyFont="1" applyBorder="1" applyAlignment="1">
      <alignment horizontal="right"/>
    </xf>
    <xf numFmtId="0" fontId="4" fillId="3" borderId="3" xfId="0" applyFont="1" applyFill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12" fillId="2" borderId="0" xfId="0" applyFont="1" applyFill="1"/>
    <xf numFmtId="0" fontId="0" fillId="0" borderId="0" xfId="0" applyFill="1"/>
    <xf numFmtId="0" fontId="2" fillId="0" borderId="0" xfId="0" applyFont="1" applyFill="1"/>
    <xf numFmtId="164" fontId="4" fillId="3" borderId="4" xfId="0" applyNumberFormat="1" applyFont="1" applyFill="1" applyBorder="1" applyAlignment="1">
      <alignment horizontal="right"/>
    </xf>
    <xf numFmtId="165" fontId="4" fillId="3" borderId="4" xfId="0" applyNumberFormat="1" applyFont="1" applyFill="1" applyBorder="1" applyAlignment="1">
      <alignment horizontal="right"/>
    </xf>
    <xf numFmtId="166" fontId="4" fillId="3" borderId="4" xfId="0" applyNumberFormat="1" applyFont="1" applyFill="1" applyBorder="1" applyAlignment="1">
      <alignment horizontal="right"/>
    </xf>
    <xf numFmtId="1" fontId="4" fillId="3" borderId="4" xfId="0" applyNumberFormat="1" applyFont="1" applyFill="1" applyBorder="1" applyAlignment="1">
      <alignment horizontal="right"/>
    </xf>
    <xf numFmtId="167" fontId="4" fillId="3" borderId="4" xfId="0" applyNumberFormat="1" applyFont="1" applyFill="1" applyBorder="1" applyAlignment="1">
      <alignment horizontal="right"/>
    </xf>
    <xf numFmtId="3" fontId="4" fillId="3" borderId="4" xfId="0" applyNumberFormat="1" applyFont="1" applyFill="1" applyBorder="1" applyAlignment="1">
      <alignment horizontal="right"/>
    </xf>
    <xf numFmtId="0" fontId="4" fillId="3" borderId="4" xfId="0" applyFont="1" applyFill="1" applyBorder="1" applyAlignment="1">
      <alignment horizontal="right"/>
    </xf>
    <xf numFmtId="168" fontId="3" fillId="0" borderId="4" xfId="0" applyNumberFormat="1" applyFont="1" applyBorder="1" applyAlignment="1">
      <alignment horizontal="right"/>
    </xf>
    <xf numFmtId="168" fontId="4" fillId="3" borderId="4" xfId="0" applyNumberFormat="1" applyFont="1" applyFill="1" applyBorder="1" applyAlignment="1">
      <alignment horizontal="right"/>
    </xf>
    <xf numFmtId="0" fontId="2" fillId="4" borderId="0" xfId="0" applyFont="1" applyFill="1"/>
    <xf numFmtId="0" fontId="0" fillId="4" borderId="0" xfId="0" applyFill="1"/>
    <xf numFmtId="0" fontId="1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1" fontId="8" fillId="0" borderId="0" xfId="0" applyNumberFormat="1" applyFont="1" applyAlignment="1">
      <alignment horizontal="right"/>
    </xf>
    <xf numFmtId="1" fontId="3" fillId="0" borderId="0" xfId="0" applyNumberFormat="1" applyFont="1" applyFill="1" applyAlignment="1">
      <alignment horizontal="right"/>
    </xf>
    <xf numFmtId="1" fontId="6" fillId="0" borderId="0" xfId="0" applyNumberFormat="1" applyFont="1" applyFill="1" applyAlignment="1">
      <alignment horizontal="right"/>
    </xf>
    <xf numFmtId="1" fontId="14" fillId="0" borderId="0" xfId="0" applyNumberFormat="1" applyFont="1" applyFill="1" applyAlignment="1">
      <alignment horizontal="right"/>
    </xf>
    <xf numFmtId="1" fontId="15" fillId="0" borderId="0" xfId="0" applyNumberFormat="1" applyFont="1" applyFill="1" applyAlignment="1">
      <alignment horizontal="right"/>
    </xf>
    <xf numFmtId="170" fontId="15" fillId="0" borderId="0" xfId="0" applyNumberFormat="1" applyFont="1" applyFill="1" applyAlignment="1">
      <alignment horizontal="right"/>
    </xf>
    <xf numFmtId="0" fontId="13" fillId="0" borderId="0" xfId="0" applyFont="1"/>
    <xf numFmtId="0" fontId="13" fillId="5" borderId="0" xfId="0" applyFont="1" applyFill="1"/>
    <xf numFmtId="171" fontId="3" fillId="0" borderId="0" xfId="0" applyNumberFormat="1" applyFont="1"/>
    <xf numFmtId="171" fontId="8" fillId="0" borderId="0" xfId="0" applyNumberFormat="1" applyFont="1"/>
    <xf numFmtId="165" fontId="15" fillId="0" borderId="0" xfId="0" applyNumberFormat="1" applyFont="1"/>
    <xf numFmtId="164" fontId="15" fillId="0" borderId="0" xfId="0" applyNumberFormat="1" applyFont="1"/>
    <xf numFmtId="164" fontId="15" fillId="5" borderId="0" xfId="0" applyNumberFormat="1" applyFont="1" applyFill="1"/>
    <xf numFmtId="165" fontId="15" fillId="5" borderId="0" xfId="0" applyNumberFormat="1" applyFont="1" applyFill="1"/>
    <xf numFmtId="0" fontId="0" fillId="0" borderId="0" xfId="0" applyFont="1"/>
    <xf numFmtId="0" fontId="0" fillId="4" borderId="0" xfId="0" applyFont="1" applyFill="1"/>
    <xf numFmtId="164" fontId="8" fillId="0" borderId="0" xfId="0" applyNumberFormat="1" applyFont="1" applyAlignment="1">
      <alignment horizontal="left"/>
    </xf>
    <xf numFmtId="164" fontId="15" fillId="0" borderId="1" xfId="0" applyNumberFormat="1" applyFont="1" applyBorder="1"/>
    <xf numFmtId="164" fontId="15" fillId="5" borderId="1" xfId="0" applyNumberFormat="1" applyFont="1" applyFill="1" applyBorder="1"/>
    <xf numFmtId="0" fontId="4" fillId="3" borderId="3" xfId="0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15" fillId="6" borderId="1" xfId="0" applyFont="1" applyFill="1" applyBorder="1"/>
    <xf numFmtId="0" fontId="13" fillId="6" borderId="5" xfId="0" applyFont="1" applyFill="1" applyBorder="1"/>
    <xf numFmtId="0" fontId="0" fillId="6" borderId="5" xfId="0" applyFill="1" applyBorder="1"/>
    <xf numFmtId="166" fontId="6" fillId="6" borderId="5" xfId="0" applyNumberFormat="1" applyFont="1" applyFill="1" applyBorder="1"/>
    <xf numFmtId="166" fontId="5" fillId="6" borderId="5" xfId="0" applyNumberFormat="1" applyFont="1" applyFill="1" applyBorder="1"/>
    <xf numFmtId="0" fontId="3" fillId="6" borderId="5" xfId="0" applyFont="1" applyFill="1" applyBorder="1"/>
    <xf numFmtId="165" fontId="6" fillId="6" borderId="5" xfId="0" applyNumberFormat="1" applyFont="1" applyFill="1" applyBorder="1"/>
    <xf numFmtId="165" fontId="5" fillId="6" borderId="5" xfId="0" applyNumberFormat="1" applyFont="1" applyFill="1" applyBorder="1"/>
    <xf numFmtId="164" fontId="6" fillId="6" borderId="5" xfId="0" applyNumberFormat="1" applyFont="1" applyFill="1" applyBorder="1"/>
    <xf numFmtId="164" fontId="5" fillId="6" borderId="5" xfId="0" applyNumberFormat="1" applyFont="1" applyFill="1" applyBorder="1"/>
    <xf numFmtId="0" fontId="14" fillId="0" borderId="0" xfId="0" applyFont="1"/>
    <xf numFmtId="3" fontId="15" fillId="0" borderId="1" xfId="0" applyNumberFormat="1" applyFont="1" applyBorder="1"/>
    <xf numFmtId="3" fontId="15" fillId="5" borderId="1" xfId="0" applyNumberFormat="1" applyFont="1" applyFill="1" applyBorder="1"/>
    <xf numFmtId="171" fontId="1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1B7F79"/>
      <rgbColor rgb="FFB8C2CC"/>
      <rgbColor rgb="FF878787"/>
      <rgbColor rgb="FF8EA5CA"/>
      <rgbColor rgb="FFAA433F"/>
      <rgbColor rgb="FFFFF7D6"/>
      <rgbColor rgb="FFD6E4F0"/>
      <rgbColor rgb="FF660066"/>
      <rgbColor rgb="FFCC8F8E"/>
      <rgbColor rgb="FF4A7EBB"/>
      <rgbColor rgb="FFC9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FF2"/>
      <rgbColor rgb="FFF3EFE6"/>
      <rgbColor rgb="FFF8F9FB"/>
      <rgbColor rgb="FFB3C992"/>
      <rgbColor rgb="FFE0A458"/>
      <rgbColor rgb="FFA596B9"/>
      <rgbColor rgb="FFD9D9D9"/>
      <rgbColor rgb="FF426FA6"/>
      <rgbColor rgb="FF5B8DB8"/>
      <rgbColor rgb="FF99CC00"/>
      <rgbColor rgb="FFFFCC00"/>
      <rgbColor rgb="FFDB8238"/>
      <rgbColor rgb="FFFF6600"/>
      <rgbColor rgb="FF6B7280"/>
      <rgbColor rgb="FF8A94A6"/>
      <rgbColor rgb="FF17324D"/>
      <rgbColor rgb="FF3D97AF"/>
      <rgbColor rgb="FF003300"/>
      <rgbColor rgb="FF333300"/>
      <rgbColor rgb="FF993300"/>
      <rgbColor rgb="FFBE4B48"/>
      <rgbColor rgb="FF6F568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7F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0D5C33"/>
      </a:accent1>
      <a:accent2>
        <a:srgbClr val="12814A"/>
      </a:accent2>
      <a:accent3>
        <a:srgbClr val="4ADE80"/>
      </a:accent3>
      <a:accent4>
        <a:srgbClr val="2F62C9"/>
      </a:accent4>
      <a:accent5>
        <a:srgbClr val="8A918C"/>
      </a:accent5>
      <a:accent6>
        <a:srgbClr val="0A4A29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A4A29"/>
  </sheetPr>
  <dimension ref="A1:M33"/>
  <sheetViews>
    <sheetView showGridLines="0" zoomScaleNormal="100" workbookViewId="0">
      <selection activeCell="C3" sqref="C3"/>
    </sheetView>
  </sheetViews>
  <sheetFormatPr defaultColWidth="8.625" defaultRowHeight="14.25" customHeight="1"/>
  <cols>
    <col min="1" max="2" width="2.625" customWidth="1"/>
    <col min="3" max="3" width="28" customWidth="1"/>
    <col min="4" max="4" width="70" customWidth="1"/>
    <col min="5" max="13" width="10" customWidth="1"/>
  </cols>
  <sheetData>
    <row r="1" spans="1:13" ht="24" customHeight="1">
      <c r="A1" s="1"/>
      <c r="B1" s="1"/>
      <c r="C1" s="58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1"/>
      <c r="B2" s="1"/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/>
    <row r="4" spans="1:13">
      <c r="B4" s="70">
        <v>1</v>
      </c>
      <c r="C4" s="70" t="s">
        <v>2</v>
      </c>
      <c r="D4" s="71"/>
      <c r="E4" s="71"/>
      <c r="F4" s="71"/>
      <c r="G4" s="71"/>
      <c r="H4" s="71"/>
      <c r="I4" s="71"/>
      <c r="J4" s="71"/>
      <c r="K4" s="71"/>
      <c r="L4" s="71"/>
      <c r="M4" s="71"/>
    </row>
    <row r="5" spans="1:13">
      <c r="C5" s="54" t="s">
        <v>3</v>
      </c>
      <c r="D5" s="3" t="s">
        <v>4</v>
      </c>
    </row>
    <row r="6" spans="1:13">
      <c r="C6" s="54" t="s">
        <v>5</v>
      </c>
      <c r="D6" s="3" t="s">
        <v>6</v>
      </c>
    </row>
    <row r="7" spans="1:13">
      <c r="C7" s="54" t="s">
        <v>7</v>
      </c>
      <c r="D7" s="3" t="s">
        <v>8</v>
      </c>
    </row>
    <row r="8" spans="1:13">
      <c r="C8" s="54" t="s">
        <v>9</v>
      </c>
      <c r="D8" s="3" t="s">
        <v>10</v>
      </c>
    </row>
    <row r="9" spans="1:13"/>
    <row r="10" spans="1:13">
      <c r="B10" s="70">
        <f>+B4+1</f>
        <v>2</v>
      </c>
      <c r="C10" s="70" t="s">
        <v>11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</row>
    <row r="11" spans="1:13">
      <c r="C11" s="14" t="s">
        <v>12</v>
      </c>
      <c r="D11" s="3" t="s">
        <v>13</v>
      </c>
    </row>
    <row r="12" spans="1:13">
      <c r="C12" s="14" t="s">
        <v>14</v>
      </c>
      <c r="D12" s="3" t="s">
        <v>15</v>
      </c>
    </row>
    <row r="13" spans="1:13">
      <c r="C13" s="14" t="s">
        <v>16</v>
      </c>
      <c r="D13" s="3" t="s">
        <v>17</v>
      </c>
    </row>
    <row r="14" spans="1:13">
      <c r="C14" s="14"/>
      <c r="D14" s="3"/>
    </row>
    <row r="15" spans="1:13">
      <c r="B15" s="70">
        <f>B10+1</f>
        <v>3</v>
      </c>
      <c r="C15" s="70" t="s">
        <v>18</v>
      </c>
      <c r="D15" s="71"/>
      <c r="E15" s="71"/>
      <c r="F15" s="71"/>
      <c r="G15" s="71"/>
      <c r="H15" s="71"/>
      <c r="I15" s="71"/>
      <c r="J15" s="71"/>
      <c r="K15" s="71"/>
      <c r="L15" s="71"/>
      <c r="M15" s="71"/>
    </row>
    <row r="16" spans="1:13">
      <c r="C16" s="56" t="s">
        <v>19</v>
      </c>
      <c r="D16" s="3" t="s">
        <v>20</v>
      </c>
    </row>
    <row r="17" spans="2:13">
      <c r="C17" s="57" t="s">
        <v>19</v>
      </c>
      <c r="D17" s="3" t="s">
        <v>21</v>
      </c>
    </row>
    <row r="18" spans="2:13">
      <c r="C18" s="55" t="s">
        <v>19</v>
      </c>
      <c r="D18" s="3" t="s">
        <v>22</v>
      </c>
    </row>
    <row r="19" spans="2:13"/>
    <row r="20" spans="2:13">
      <c r="B20" s="70">
        <f>+B15+1</f>
        <v>4</v>
      </c>
      <c r="C20" s="70" t="s">
        <v>23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</row>
    <row r="21" spans="2:13">
      <c r="C21" s="3" t="s">
        <v>24</v>
      </c>
      <c r="D21" s="5" t="str">
        <f>IF(Calc!G139=0,"OK - all checks pass","ERROR - see Calc checks")</f>
        <v>OK - all checks pass</v>
      </c>
    </row>
    <row r="22" spans="2:13">
      <c r="C22" s="3"/>
      <c r="D22" s="5"/>
    </row>
    <row r="23" spans="2:13"/>
    <row r="24" spans="2:13" ht="15" customHeight="1"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2:13" ht="15" customHeight="1">
      <c r="C25" s="6"/>
      <c r="D25" s="6" t="s">
        <v>27</v>
      </c>
      <c r="E25" s="6"/>
      <c r="F25" s="6"/>
      <c r="G25" s="6"/>
      <c r="H25" s="6"/>
      <c r="I25" s="6"/>
      <c r="J25" s="6"/>
      <c r="K25" s="6"/>
      <c r="L25" s="6"/>
      <c r="M25" s="6"/>
    </row>
    <row r="26" spans="2:13"/>
    <row r="27" spans="2:13"/>
    <row r="28" spans="2:13"/>
    <row r="30" spans="2:13"/>
    <row r="31" spans="2:13"/>
    <row r="32" spans="2:13"/>
    <row r="33"/>
  </sheetData>
  <hyperlinks>
    <hyperlink ref="C5" location="'Inputs'!A1" display="Inputs" xr:uid="{00000000-0004-0000-0000-000000000000}"/>
    <hyperlink ref="C6" location="'Calc'!A1" display="Calc" xr:uid="{00000000-0004-0000-0000-000001000000}"/>
    <hyperlink ref="C7" location="'Results'!A1" display="Results" xr:uid="{00000000-0004-0000-0000-000002000000}"/>
    <hyperlink ref="C8" location="'Project View'!A1" display="Project View" xr:uid="{00000000-0004-0000-0000-000003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2814A"/>
  </sheetPr>
  <dimension ref="A1:R38"/>
  <sheetViews>
    <sheetView showGridLines="0" zoomScaleNormal="100" workbookViewId="0">
      <selection activeCell="O23" sqref="O23:O32"/>
    </sheetView>
  </sheetViews>
  <sheetFormatPr defaultColWidth="8.625" defaultRowHeight="14.25" customHeight="1"/>
  <cols>
    <col min="1" max="2" width="2.625" customWidth="1"/>
    <col min="3" max="3" width="30" customWidth="1"/>
    <col min="4" max="4" width="14" customWidth="1"/>
    <col min="5" max="5" width="17" customWidth="1"/>
    <col min="6" max="15" width="12" customWidth="1"/>
    <col min="16" max="16" width="14" customWidth="1"/>
    <col min="17" max="17" width="13.5" customWidth="1"/>
  </cols>
  <sheetData>
    <row r="1" spans="1:17" ht="24" customHeight="1">
      <c r="A1" s="1"/>
      <c r="B1" s="1"/>
      <c r="C1" s="58" t="s">
        <v>28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25" customHeight="1">
      <c r="A2" s="1"/>
      <c r="B2" s="1"/>
      <c r="C2" s="2" t="s">
        <v>29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1:17">
      <c r="B4" s="70">
        <v>1</v>
      </c>
      <c r="C4" s="70" t="s">
        <v>30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</row>
    <row r="5" spans="1:17">
      <c r="C5" s="3" t="s">
        <v>31</v>
      </c>
      <c r="D5" s="72" t="s">
        <v>12</v>
      </c>
      <c r="E5" s="61">
        <v>240000</v>
      </c>
      <c r="F5" s="6"/>
    </row>
    <row r="6" spans="1:17">
      <c r="C6" s="3" t="s">
        <v>32</v>
      </c>
      <c r="D6" s="72" t="s">
        <v>14</v>
      </c>
      <c r="E6" s="62">
        <v>105</v>
      </c>
      <c r="F6" s="6"/>
    </row>
    <row r="7" spans="1:17">
      <c r="C7" s="3" t="s">
        <v>33</v>
      </c>
      <c r="D7" s="72" t="s">
        <v>34</v>
      </c>
      <c r="E7" s="63">
        <v>-0.01</v>
      </c>
      <c r="F7" s="6"/>
    </row>
    <row r="8" spans="1:17">
      <c r="C8" s="3" t="s">
        <v>35</v>
      </c>
      <c r="D8" s="72" t="s">
        <v>34</v>
      </c>
      <c r="E8" s="63">
        <v>7.4999999999999997E-2</v>
      </c>
      <c r="F8" s="6"/>
    </row>
    <row r="9" spans="1:17">
      <c r="C9" s="3" t="s">
        <v>36</v>
      </c>
      <c r="D9" s="72" t="s">
        <v>37</v>
      </c>
      <c r="E9" s="64">
        <v>15</v>
      </c>
      <c r="F9" s="6"/>
    </row>
    <row r="10" spans="1:17">
      <c r="C10" s="3" t="s">
        <v>38</v>
      </c>
      <c r="D10" s="72" t="s">
        <v>39</v>
      </c>
      <c r="E10" s="65">
        <v>46388</v>
      </c>
      <c r="F10" s="6"/>
    </row>
    <row r="11" spans="1:17">
      <c r="C11" s="3" t="s">
        <v>40</v>
      </c>
      <c r="D11" s="72" t="s">
        <v>41</v>
      </c>
      <c r="E11" s="66">
        <v>8760</v>
      </c>
      <c r="F11" s="6"/>
    </row>
    <row r="12" spans="1:17">
      <c r="C12" s="3" t="s">
        <v>42</v>
      </c>
      <c r="D12" s="72" t="s">
        <v>43</v>
      </c>
      <c r="E12" s="67" t="s">
        <v>44</v>
      </c>
      <c r="F12" s="6"/>
    </row>
    <row r="13" spans="1:17">
      <c r="C13" s="3" t="s">
        <v>45</v>
      </c>
      <c r="D13" s="72" t="s">
        <v>46</v>
      </c>
      <c r="E13" s="68">
        <f>INDEX($E$16:$E$18,MATCH(Scenario,$C$16:$C$18,0))</f>
        <v>1</v>
      </c>
    </row>
    <row r="14" spans="1:17" ht="14.25" customHeight="1">
      <c r="D14" s="73"/>
    </row>
    <row r="15" spans="1:17">
      <c r="B15" s="70">
        <f>+B4+1</f>
        <v>2</v>
      </c>
      <c r="C15" s="70" t="s">
        <v>47</v>
      </c>
      <c r="D15" s="74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spans="1:17">
      <c r="C16" s="3" t="s">
        <v>48</v>
      </c>
      <c r="D16" s="72" t="s">
        <v>46</v>
      </c>
      <c r="E16" s="69">
        <v>0.85</v>
      </c>
      <c r="F16" s="6"/>
      <c r="H16" t="s">
        <v>27</v>
      </c>
    </row>
    <row r="17" spans="2:18">
      <c r="C17" s="3" t="s">
        <v>44</v>
      </c>
      <c r="D17" s="72" t="s">
        <v>46</v>
      </c>
      <c r="E17" s="69">
        <v>1</v>
      </c>
    </row>
    <row r="18" spans="2:18">
      <c r="C18" s="3" t="s">
        <v>49</v>
      </c>
      <c r="D18" s="72" t="s">
        <v>46</v>
      </c>
      <c r="E18" s="69">
        <v>1.1499999999999999</v>
      </c>
    </row>
    <row r="20" spans="2:18">
      <c r="B20" s="70">
        <f>+B15+1</f>
        <v>3</v>
      </c>
      <c r="C20" s="70" t="s">
        <v>50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</row>
    <row r="21" spans="2:18" s="59" customFormat="1">
      <c r="B21" s="60"/>
      <c r="C21" s="60"/>
    </row>
    <row r="22" spans="2:18" ht="37.5" customHeight="1">
      <c r="C22" s="9" t="s">
        <v>51</v>
      </c>
      <c r="D22" s="9" t="s">
        <v>52</v>
      </c>
      <c r="E22" s="9" t="s">
        <v>53</v>
      </c>
      <c r="F22" s="9" t="s">
        <v>54</v>
      </c>
      <c r="G22" s="9" t="s">
        <v>55</v>
      </c>
      <c r="H22" s="9" t="s">
        <v>56</v>
      </c>
      <c r="I22" s="9" t="s">
        <v>57</v>
      </c>
      <c r="J22" s="9" t="s">
        <v>58</v>
      </c>
      <c r="K22" s="9" t="s">
        <v>59</v>
      </c>
      <c r="L22" s="9" t="s">
        <v>60</v>
      </c>
      <c r="M22" s="9" t="s">
        <v>61</v>
      </c>
      <c r="N22" s="9" t="s">
        <v>62</v>
      </c>
      <c r="O22" s="9" t="s">
        <v>63</v>
      </c>
      <c r="P22" s="9" t="s">
        <v>64</v>
      </c>
      <c r="Q22" s="9" t="s">
        <v>65</v>
      </c>
    </row>
    <row r="23" spans="2:18">
      <c r="C23" s="10" t="s">
        <v>66</v>
      </c>
      <c r="D23" s="10" t="s">
        <v>67</v>
      </c>
      <c r="E23" s="10" t="s">
        <v>68</v>
      </c>
      <c r="F23" s="11">
        <v>95</v>
      </c>
      <c r="G23" s="8">
        <v>0.21</v>
      </c>
      <c r="H23" s="8">
        <v>5.0000000000000001E-3</v>
      </c>
      <c r="I23" s="8">
        <v>0.7</v>
      </c>
      <c r="J23" s="12">
        <f>1-I23</f>
        <v>0.30000000000000004</v>
      </c>
      <c r="K23" s="4">
        <v>62</v>
      </c>
      <c r="L23" s="7">
        <v>38</v>
      </c>
      <c r="M23" s="8">
        <v>-0.01</v>
      </c>
      <c r="N23" s="7">
        <v>38</v>
      </c>
      <c r="O23" s="8">
        <v>0.01</v>
      </c>
      <c r="P23" s="13">
        <f>F23*G23*Hours</f>
        <v>174762</v>
      </c>
      <c r="Q23" s="12">
        <f>IF(Demand=0,0,P23/Demand)</f>
        <v>0.72817500000000002</v>
      </c>
      <c r="R23" t="s">
        <v>27</v>
      </c>
    </row>
    <row r="24" spans="2:18">
      <c r="C24" s="10" t="s">
        <v>69</v>
      </c>
      <c r="D24" s="10" t="s">
        <v>70</v>
      </c>
      <c r="E24" s="10" t="s">
        <v>68</v>
      </c>
      <c r="F24" s="11">
        <v>70</v>
      </c>
      <c r="G24" s="8">
        <v>0.2</v>
      </c>
      <c r="H24" s="8">
        <v>5.0000000000000001E-3</v>
      </c>
      <c r="I24" s="8">
        <v>0.7</v>
      </c>
      <c r="J24" s="12">
        <f>1-I24</f>
        <v>0.30000000000000004</v>
      </c>
      <c r="K24" s="4">
        <v>60</v>
      </c>
      <c r="L24" s="7">
        <v>40</v>
      </c>
      <c r="M24" s="8">
        <v>-0.01</v>
      </c>
      <c r="N24" s="7">
        <v>40</v>
      </c>
      <c r="O24" s="8">
        <v>0.01</v>
      </c>
      <c r="P24" s="13">
        <f>F24*G24*Hours</f>
        <v>122640</v>
      </c>
      <c r="Q24" s="12">
        <f>IF(Demand=0,0,P24/Demand)</f>
        <v>0.51100000000000001</v>
      </c>
    </row>
    <row r="25" spans="2:18">
      <c r="C25" s="10" t="s">
        <v>71</v>
      </c>
      <c r="D25" s="10" t="s">
        <v>72</v>
      </c>
      <c r="E25" s="10" t="s">
        <v>68</v>
      </c>
      <c r="F25" s="11">
        <v>80</v>
      </c>
      <c r="G25" s="8">
        <v>0.18</v>
      </c>
      <c r="H25" s="8">
        <v>5.0000000000000001E-3</v>
      </c>
      <c r="I25" s="8">
        <v>0.7</v>
      </c>
      <c r="J25" s="12">
        <f>1-I25</f>
        <v>0.30000000000000004</v>
      </c>
      <c r="K25" s="4">
        <v>115</v>
      </c>
      <c r="L25" s="7">
        <v>95</v>
      </c>
      <c r="M25" s="8">
        <v>-0.03</v>
      </c>
      <c r="N25" s="7">
        <v>78</v>
      </c>
      <c r="O25" s="8">
        <v>0</v>
      </c>
      <c r="P25" s="13">
        <f>F25*G25*Hours</f>
        <v>126143.99999999999</v>
      </c>
      <c r="Q25" s="12">
        <f>IF(Demand=0,0,P25/Demand)</f>
        <v>0.52559999999999996</v>
      </c>
    </row>
    <row r="26" spans="2:18">
      <c r="C26" s="10" t="s">
        <v>73</v>
      </c>
      <c r="D26" s="10" t="s">
        <v>74</v>
      </c>
      <c r="E26" s="10" t="s">
        <v>68</v>
      </c>
      <c r="F26" s="11">
        <v>75</v>
      </c>
      <c r="G26" s="8">
        <v>0.2</v>
      </c>
      <c r="H26" s="8">
        <v>5.0000000000000001E-3</v>
      </c>
      <c r="I26" s="8">
        <v>0.7</v>
      </c>
      <c r="J26" s="12">
        <f>1-I26</f>
        <v>0.30000000000000004</v>
      </c>
      <c r="K26" s="4">
        <v>98</v>
      </c>
      <c r="L26" s="7">
        <v>80</v>
      </c>
      <c r="M26" s="8">
        <v>-0.02</v>
      </c>
      <c r="N26" s="7">
        <v>58</v>
      </c>
      <c r="O26" s="8">
        <v>5.0000000000000001E-3</v>
      </c>
      <c r="P26" s="13">
        <f>F26*G26*Hours</f>
        <v>131400</v>
      </c>
      <c r="Q26" s="12">
        <f>IF(Demand=0,0,P26/Demand)</f>
        <v>0.54749999999999999</v>
      </c>
    </row>
    <row r="27" spans="2:18">
      <c r="C27" s="10" t="s">
        <v>75</v>
      </c>
      <c r="D27" s="10" t="s">
        <v>76</v>
      </c>
      <c r="E27" s="10" t="s">
        <v>77</v>
      </c>
      <c r="F27" s="11">
        <v>60</v>
      </c>
      <c r="G27" s="8">
        <v>0.25</v>
      </c>
      <c r="H27" s="8">
        <v>0</v>
      </c>
      <c r="I27" s="8">
        <v>0.5</v>
      </c>
      <c r="J27" s="12">
        <f>1-I27</f>
        <v>0.5</v>
      </c>
      <c r="K27" s="4">
        <v>68</v>
      </c>
      <c r="L27" s="7">
        <v>58</v>
      </c>
      <c r="M27" s="8">
        <v>0.01</v>
      </c>
      <c r="N27" s="7">
        <v>64</v>
      </c>
      <c r="O27" s="8">
        <v>0.01</v>
      </c>
      <c r="P27" s="13">
        <f>F27*G27*Hours</f>
        <v>131400</v>
      </c>
      <c r="Q27" s="12">
        <f>IF(Demand=0,0,P27/Demand)</f>
        <v>0.54749999999999999</v>
      </c>
    </row>
    <row r="28" spans="2:18">
      <c r="C28" s="10" t="s">
        <v>78</v>
      </c>
      <c r="D28" s="10" t="s">
        <v>79</v>
      </c>
      <c r="E28" s="10" t="s">
        <v>77</v>
      </c>
      <c r="F28" s="11">
        <v>65</v>
      </c>
      <c r="G28" s="8">
        <v>0.24</v>
      </c>
      <c r="H28" s="8">
        <v>0</v>
      </c>
      <c r="I28" s="8">
        <v>0.5</v>
      </c>
      <c r="J28" s="12">
        <f>1-I28</f>
        <v>0.5</v>
      </c>
      <c r="K28" s="4">
        <v>92</v>
      </c>
      <c r="L28" s="7">
        <v>70</v>
      </c>
      <c r="M28" s="8">
        <v>-5.0000000000000001E-3</v>
      </c>
      <c r="N28" s="7">
        <v>72</v>
      </c>
      <c r="O28" s="8">
        <v>0.01</v>
      </c>
      <c r="P28" s="13">
        <f>F28*G28*Hours</f>
        <v>136656</v>
      </c>
      <c r="Q28" s="12">
        <f>IF(Demand=0,0,P28/Demand)</f>
        <v>0.56940000000000002</v>
      </c>
    </row>
    <row r="29" spans="2:18">
      <c r="C29" s="10" t="s">
        <v>80</v>
      </c>
      <c r="D29" s="10" t="s">
        <v>81</v>
      </c>
      <c r="E29" s="10" t="s">
        <v>82</v>
      </c>
      <c r="F29" s="11">
        <v>45</v>
      </c>
      <c r="G29" s="8">
        <v>0.42</v>
      </c>
      <c r="H29" s="8">
        <v>0</v>
      </c>
      <c r="I29" s="8">
        <v>0.5</v>
      </c>
      <c r="J29" s="12">
        <f>1-I29</f>
        <v>0.5</v>
      </c>
      <c r="K29" s="4">
        <v>88</v>
      </c>
      <c r="L29" s="7">
        <v>72</v>
      </c>
      <c r="M29" s="8">
        <v>0</v>
      </c>
      <c r="N29" s="7">
        <v>80</v>
      </c>
      <c r="O29" s="8">
        <v>1.4999999999999999E-2</v>
      </c>
      <c r="P29" s="13">
        <f>F29*G29*Hours</f>
        <v>165564</v>
      </c>
      <c r="Q29" s="12">
        <f>IF(Demand=0,0,P29/Demand)</f>
        <v>0.68984999999999996</v>
      </c>
    </row>
    <row r="30" spans="2:18">
      <c r="C30" s="10" t="s">
        <v>83</v>
      </c>
      <c r="D30" s="10" t="s">
        <v>84</v>
      </c>
      <c r="E30" s="10" t="s">
        <v>77</v>
      </c>
      <c r="F30" s="11">
        <v>55</v>
      </c>
      <c r="G30" s="8">
        <v>0.3</v>
      </c>
      <c r="H30" s="8">
        <v>0</v>
      </c>
      <c r="I30" s="8">
        <v>0.5</v>
      </c>
      <c r="J30" s="12">
        <f>1-I30</f>
        <v>0.5</v>
      </c>
      <c r="K30" s="4">
        <v>110</v>
      </c>
      <c r="L30" s="7">
        <v>95</v>
      </c>
      <c r="M30" s="8">
        <v>-1.4999999999999999E-2</v>
      </c>
      <c r="N30" s="7">
        <v>82</v>
      </c>
      <c r="O30" s="8">
        <v>0.01</v>
      </c>
      <c r="P30" s="13">
        <f>F30*G30*Hours</f>
        <v>144540</v>
      </c>
      <c r="Q30" s="12">
        <f>IF(Demand=0,0,P30/Demand)</f>
        <v>0.60224999999999995</v>
      </c>
    </row>
    <row r="31" spans="2:18">
      <c r="C31" s="10" t="s">
        <v>85</v>
      </c>
      <c r="D31" s="10" t="s">
        <v>86</v>
      </c>
      <c r="E31" s="10" t="s">
        <v>77</v>
      </c>
      <c r="F31" s="11">
        <v>60</v>
      </c>
      <c r="G31" s="8">
        <v>0.33</v>
      </c>
      <c r="H31" s="8">
        <v>0</v>
      </c>
      <c r="I31" s="8">
        <v>0.5</v>
      </c>
      <c r="J31" s="12">
        <f>1-I31</f>
        <v>0.5</v>
      </c>
      <c r="K31" s="4">
        <v>55</v>
      </c>
      <c r="L31" s="7">
        <v>35</v>
      </c>
      <c r="M31" s="8">
        <v>5.0000000000000001E-3</v>
      </c>
      <c r="N31" s="7">
        <v>36</v>
      </c>
      <c r="O31" s="8">
        <v>0.01</v>
      </c>
      <c r="P31" s="13">
        <f>F31*G31*Hours</f>
        <v>173448</v>
      </c>
      <c r="Q31" s="12">
        <f>IF(Demand=0,0,P31/Demand)</f>
        <v>0.72270000000000001</v>
      </c>
    </row>
    <row r="32" spans="2:18">
      <c r="C32" s="10" t="s">
        <v>87</v>
      </c>
      <c r="D32" s="10" t="s">
        <v>88</v>
      </c>
      <c r="E32" s="10" t="s">
        <v>77</v>
      </c>
      <c r="F32" s="11">
        <v>50</v>
      </c>
      <c r="G32" s="8">
        <v>0.35</v>
      </c>
      <c r="H32" s="8">
        <v>0</v>
      </c>
      <c r="I32" s="8">
        <v>0.5</v>
      </c>
      <c r="J32" s="12">
        <f>1-I32</f>
        <v>0.5</v>
      </c>
      <c r="K32" s="4">
        <v>58</v>
      </c>
      <c r="L32" s="7">
        <v>32</v>
      </c>
      <c r="M32" s="8">
        <v>-0.01</v>
      </c>
      <c r="N32" s="7">
        <v>38</v>
      </c>
      <c r="O32" s="8">
        <v>0.01</v>
      </c>
      <c r="P32" s="13">
        <f>F32*G32*Hours</f>
        <v>153300</v>
      </c>
      <c r="Q32" s="12">
        <f>IF(Demand=0,0,P32/Demand)</f>
        <v>0.63875000000000004</v>
      </c>
    </row>
    <row r="34" spans="3:3"/>
    <row r="35" spans="3:3"/>
    <row r="36" spans="3:3"/>
    <row r="37" spans="3:3"/>
    <row r="38" spans="3:3"/>
  </sheetData>
  <dataValidations count="1">
    <dataValidation type="list" sqref="E12" xr:uid="{00000000-0002-0000-0100-000000000000}">
      <formula1>$C$16:$C$18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W139"/>
  <sheetViews>
    <sheetView showGridLines="0" zoomScaleNormal="100" workbookViewId="0">
      <selection activeCell="C3" sqref="C3"/>
    </sheetView>
  </sheetViews>
  <sheetFormatPr defaultColWidth="8.625" defaultRowHeight="14.25" customHeight="1"/>
  <cols>
    <col min="1" max="2" width="2.625" customWidth="1"/>
    <col min="3" max="3" width="34" customWidth="1"/>
    <col min="4" max="5" width="14" customWidth="1"/>
    <col min="6" max="6" width="9" customWidth="1"/>
    <col min="7" max="7" width="12" customWidth="1"/>
    <col min="8" max="8" width="2" customWidth="1"/>
    <col min="9" max="23" width="9.5" customWidth="1"/>
  </cols>
  <sheetData>
    <row r="1" spans="1:23" ht="24" customHeight="1">
      <c r="A1" s="1"/>
      <c r="B1" s="1"/>
      <c r="C1" s="58" t="s">
        <v>93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2" t="s">
        <v>94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G3" s="15" t="s">
        <v>95</v>
      </c>
    </row>
    <row r="4" spans="1:23">
      <c r="C4" s="14" t="s">
        <v>96</v>
      </c>
      <c r="F4" s="81" t="s">
        <v>97</v>
      </c>
      <c r="I4" s="76">
        <v>1</v>
      </c>
      <c r="J4" s="76">
        <f>I4+1</f>
        <v>2</v>
      </c>
      <c r="K4" s="76">
        <f>J4+1</f>
        <v>3</v>
      </c>
      <c r="L4" s="76">
        <f>K4+1</f>
        <v>4</v>
      </c>
      <c r="M4" s="76">
        <f>L4+1</f>
        <v>5</v>
      </c>
      <c r="N4" s="76">
        <f>M4+1</f>
        <v>6</v>
      </c>
      <c r="O4" s="76">
        <f>N4+1</f>
        <v>7</v>
      </c>
      <c r="P4" s="76">
        <f>O4+1</f>
        <v>8</v>
      </c>
      <c r="Q4" s="76">
        <f>P4+1</f>
        <v>9</v>
      </c>
      <c r="R4" s="76">
        <f>Q4+1</f>
        <v>10</v>
      </c>
      <c r="S4" s="76">
        <f>R4+1</f>
        <v>11</v>
      </c>
      <c r="T4" s="76">
        <f>S4+1</f>
        <v>12</v>
      </c>
      <c r="U4" s="76">
        <f>T4+1</f>
        <v>13</v>
      </c>
      <c r="V4" s="76">
        <f>U4+1</f>
        <v>14</v>
      </c>
      <c r="W4" s="76">
        <f>V4+1</f>
        <v>15</v>
      </c>
    </row>
    <row r="5" spans="1:23">
      <c r="C5" s="14" t="s">
        <v>98</v>
      </c>
      <c r="F5" s="81" t="s">
        <v>99</v>
      </c>
      <c r="I5" s="78">
        <f>YEAR(COD)+I$4-1</f>
        <v>2027</v>
      </c>
      <c r="J5" s="78">
        <f>YEAR(COD)+J$4-1</f>
        <v>2028</v>
      </c>
      <c r="K5" s="78">
        <f>YEAR(COD)+K$4-1</f>
        <v>2029</v>
      </c>
      <c r="L5" s="78">
        <f>YEAR(COD)+L$4-1</f>
        <v>2030</v>
      </c>
      <c r="M5" s="78">
        <f>YEAR(COD)+M$4-1</f>
        <v>2031</v>
      </c>
      <c r="N5" s="78">
        <f>YEAR(COD)+N$4-1</f>
        <v>2032</v>
      </c>
      <c r="O5" s="78">
        <f>YEAR(COD)+O$4-1</f>
        <v>2033</v>
      </c>
      <c r="P5" s="78">
        <f>YEAR(COD)+P$4-1</f>
        <v>2034</v>
      </c>
      <c r="Q5" s="78">
        <f>YEAR(COD)+Q$4-1</f>
        <v>2035</v>
      </c>
      <c r="R5" s="78">
        <f>YEAR(COD)+R$4-1</f>
        <v>2036</v>
      </c>
      <c r="S5" s="78">
        <f>YEAR(COD)+S$4-1</f>
        <v>2037</v>
      </c>
      <c r="T5" s="78">
        <f>YEAR(COD)+T$4-1</f>
        <v>2038</v>
      </c>
      <c r="U5" s="78">
        <f>YEAR(COD)+U$4-1</f>
        <v>2039</v>
      </c>
      <c r="V5" s="78">
        <f>YEAR(COD)+V$4-1</f>
        <v>2040</v>
      </c>
      <c r="W5" s="78">
        <f>YEAR(COD)+W$4-1</f>
        <v>2041</v>
      </c>
    </row>
    <row r="6" spans="1:23">
      <c r="C6" s="14" t="s">
        <v>100</v>
      </c>
      <c r="F6" s="81" t="s">
        <v>101</v>
      </c>
      <c r="G6" s="75">
        <f>SUM(I6:W6)</f>
        <v>15</v>
      </c>
      <c r="I6" s="79">
        <f>IF(I$4&lt;=Tenor,1,0)</f>
        <v>1</v>
      </c>
      <c r="J6" s="79">
        <f>IF(J$4&lt;=Tenor,1,0)</f>
        <v>1</v>
      </c>
      <c r="K6" s="79">
        <f>IF(K$4&lt;=Tenor,1,0)</f>
        <v>1</v>
      </c>
      <c r="L6" s="79">
        <f>IF(L$4&lt;=Tenor,1,0)</f>
        <v>1</v>
      </c>
      <c r="M6" s="79">
        <f>IF(M$4&lt;=Tenor,1,0)</f>
        <v>1</v>
      </c>
      <c r="N6" s="79">
        <f>IF(N$4&lt;=Tenor,1,0)</f>
        <v>1</v>
      </c>
      <c r="O6" s="79">
        <f>IF(O$4&lt;=Tenor,1,0)</f>
        <v>1</v>
      </c>
      <c r="P6" s="79">
        <f>IF(P$4&lt;=Tenor,1,0)</f>
        <v>1</v>
      </c>
      <c r="Q6" s="79">
        <f>IF(Q$4&lt;=Tenor,1,0)</f>
        <v>1</v>
      </c>
      <c r="R6" s="79">
        <f>IF(R$4&lt;=Tenor,1,0)</f>
        <v>1</v>
      </c>
      <c r="S6" s="79">
        <f>IF(S$4&lt;=Tenor,1,0)</f>
        <v>1</v>
      </c>
      <c r="T6" s="79">
        <f>IF(T$4&lt;=Tenor,1,0)</f>
        <v>1</v>
      </c>
      <c r="U6" s="79">
        <f>IF(U$4&lt;=Tenor,1,0)</f>
        <v>1</v>
      </c>
      <c r="V6" s="79">
        <f>IF(V$4&lt;=Tenor,1,0)</f>
        <v>1</v>
      </c>
      <c r="W6" s="79">
        <f>IF(W$4&lt;=Tenor,1,0)</f>
        <v>1</v>
      </c>
    </row>
    <row r="7" spans="1:23">
      <c r="C7" s="14" t="s">
        <v>102</v>
      </c>
      <c r="F7" s="81" t="s">
        <v>46</v>
      </c>
      <c r="I7" s="80">
        <f>1/(1+DiscRate)^((DATE(I$5,12,31)-(COD-1))/365)</f>
        <v>0.93023255813953487</v>
      </c>
      <c r="J7" s="80">
        <f>1/(1+DiscRate)^((DATE(J$5,12,31)-(COD-1))/365)</f>
        <v>0.86516117324335062</v>
      </c>
      <c r="K7" s="80">
        <f>1/(1+DiscRate)^((DATE(K$5,12,31)-(COD-1))/365)</f>
        <v>0.80480109138916345</v>
      </c>
      <c r="L7" s="80">
        <f>1/(1+DiscRate)^((DATE(L$5,12,31)-(COD-1))/365)</f>
        <v>0.74865217803643125</v>
      </c>
      <c r="M7" s="80">
        <f>1/(1+DiscRate)^((DATE(M$5,12,31)-(COD-1))/365)</f>
        <v>0.69642063073156391</v>
      </c>
      <c r="N7" s="80">
        <f>1/(1+DiscRate)^((DATE(N$5,12,31)-(COD-1))/365)</f>
        <v>0.64770479670118875</v>
      </c>
      <c r="O7" s="80">
        <f>1/(1+DiscRate)^((DATE(O$5,12,31)-(COD-1))/365)</f>
        <v>0.60251608995459416</v>
      </c>
      <c r="P7" s="80">
        <f>1/(1+DiscRate)^((DATE(P$5,12,31)-(COD-1))/365)</f>
        <v>0.56048008367869229</v>
      </c>
      <c r="Q7" s="80">
        <f>1/(1+DiscRate)^((DATE(Q$5,12,31)-(COD-1))/365)</f>
        <v>0.52137682202669045</v>
      </c>
      <c r="R7" s="80">
        <f>1/(1+DiscRate)^((DATE(R$5,12,31)-(COD-1))/365)</f>
        <v>0.48490560677498884</v>
      </c>
      <c r="S7" s="80">
        <f>1/(1+DiscRate)^((DATE(S$5,12,31)-(COD-1))/365)</f>
        <v>0.45107498304650129</v>
      </c>
      <c r="T7" s="80">
        <f>1/(1+DiscRate)^((DATE(T$5,12,31)-(COD-1))/365)</f>
        <v>0.41960463539209431</v>
      </c>
      <c r="U7" s="80">
        <f>1/(1+DiscRate)^((DATE(U$5,12,31)-(COD-1))/365)</f>
        <v>0.39032989338799468</v>
      </c>
      <c r="V7" s="80">
        <f>1/(1+DiscRate)^((DATE(V$5,12,31)-(COD-1))/365)</f>
        <v>0.36302563865417264</v>
      </c>
      <c r="W7" s="80">
        <f>1/(1+DiscRate)^((DATE(W$5,12,31)-(COD-1))/365)</f>
        <v>0.33769826851550938</v>
      </c>
    </row>
    <row r="8" spans="1:23">
      <c r="C8" s="14"/>
      <c r="F8" s="81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</row>
    <row r="9" spans="1:23">
      <c r="B9" s="70">
        <v>1</v>
      </c>
      <c r="C9" s="70" t="s">
        <v>103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</row>
    <row r="10" spans="1:23">
      <c r="C10" s="3" t="s">
        <v>104</v>
      </c>
      <c r="F10" s="81" t="s">
        <v>12</v>
      </c>
      <c r="G10" s="16">
        <f>SUM(I10:W10)</f>
        <v>3600000</v>
      </c>
      <c r="I10" s="17">
        <f>Demand*I$6</f>
        <v>240000</v>
      </c>
      <c r="J10" s="17">
        <f>Demand*J$6</f>
        <v>240000</v>
      </c>
      <c r="K10" s="17">
        <f>Demand*K$6</f>
        <v>240000</v>
      </c>
      <c r="L10" s="17">
        <f>Demand*L$6</f>
        <v>240000</v>
      </c>
      <c r="M10" s="17">
        <f>Demand*M$6</f>
        <v>240000</v>
      </c>
      <c r="N10" s="17">
        <f>Demand*N$6</f>
        <v>240000</v>
      </c>
      <c r="O10" s="17">
        <f>Demand*O$6</f>
        <v>240000</v>
      </c>
      <c r="P10" s="17">
        <f>Demand*P$6</f>
        <v>240000</v>
      </c>
      <c r="Q10" s="17">
        <f>Demand*Q$6</f>
        <v>240000</v>
      </c>
      <c r="R10" s="17">
        <f>Demand*R$6</f>
        <v>240000</v>
      </c>
      <c r="S10" s="17">
        <f>Demand*S$6</f>
        <v>240000</v>
      </c>
      <c r="T10" s="17">
        <f>Demand*T$6</f>
        <v>240000</v>
      </c>
      <c r="U10" s="17">
        <f>Demand*U$6</f>
        <v>240000</v>
      </c>
      <c r="V10" s="17">
        <f>Demand*V$6</f>
        <v>240000</v>
      </c>
      <c r="W10" s="17">
        <f>Demand*W$6</f>
        <v>240000</v>
      </c>
    </row>
    <row r="11" spans="1:23">
      <c r="C11" s="3" t="s">
        <v>105</v>
      </c>
      <c r="F11" s="81" t="s">
        <v>14</v>
      </c>
      <c r="G11" s="18">
        <f>IF(G10=0,0,G12*1000/G10)</f>
        <v>97.959151751098034</v>
      </c>
      <c r="I11" s="85">
        <f>GridPrice*(1+GridEsc)^(I$4-1)*I$6</f>
        <v>105</v>
      </c>
      <c r="J11" s="85">
        <f>GridPrice*(1+GridEsc)^(J$4-1)*J$6</f>
        <v>103.95</v>
      </c>
      <c r="K11" s="85">
        <f>GridPrice*(1+GridEsc)^(K$4-1)*K$6</f>
        <v>102.9105</v>
      </c>
      <c r="L11" s="85">
        <f>GridPrice*(1+GridEsc)^(L$4-1)*L$6</f>
        <v>101.881395</v>
      </c>
      <c r="M11" s="85">
        <f>GridPrice*(1+GridEsc)^(M$4-1)*M$6</f>
        <v>100.86258104999999</v>
      </c>
      <c r="N11" s="85">
        <f>GridPrice*(1+GridEsc)^(N$4-1)*N$6</f>
        <v>99.853955239499996</v>
      </c>
      <c r="O11" s="85">
        <f>GridPrice*(1+GridEsc)^(O$4-1)*O$6</f>
        <v>98.855415687104994</v>
      </c>
      <c r="P11" s="85">
        <f>GridPrice*(1+GridEsc)^(P$4-1)*P$6</f>
        <v>97.866861530233948</v>
      </c>
      <c r="Q11" s="85">
        <f>GridPrice*(1+GridEsc)^(Q$4-1)*Q$6</f>
        <v>96.888192914931594</v>
      </c>
      <c r="R11" s="85">
        <f>GridPrice*(1+GridEsc)^(R$4-1)*R$6</f>
        <v>95.919310985782275</v>
      </c>
      <c r="S11" s="85">
        <f>GridPrice*(1+GridEsc)^(S$4-1)*S$6</f>
        <v>94.960117875924453</v>
      </c>
      <c r="T11" s="85">
        <f>GridPrice*(1+GridEsc)^(T$4-1)*T$6</f>
        <v>94.010516697165215</v>
      </c>
      <c r="U11" s="85">
        <f>GridPrice*(1+GridEsc)^(U$4-1)*U$6</f>
        <v>93.070411530193553</v>
      </c>
      <c r="V11" s="85">
        <f>GridPrice*(1+GridEsc)^(V$4-1)*V$6</f>
        <v>92.139707414891618</v>
      </c>
      <c r="W11" s="85">
        <f>GridPrice*(1+GridEsc)^(W$4-1)*W$6</f>
        <v>91.218310340742704</v>
      </c>
    </row>
    <row r="12" spans="1:23">
      <c r="C12" s="3" t="s">
        <v>106</v>
      </c>
      <c r="F12" s="81" t="s">
        <v>16</v>
      </c>
      <c r="G12" s="16">
        <f>SUM(I12:W12)</f>
        <v>352652.94630395295</v>
      </c>
      <c r="I12" s="20">
        <f>I10*I11/1000</f>
        <v>25200</v>
      </c>
      <c r="J12" s="20">
        <f>J10*J11/1000</f>
        <v>24948</v>
      </c>
      <c r="K12" s="20">
        <f>K10*K11/1000</f>
        <v>24698.52</v>
      </c>
      <c r="L12" s="20">
        <f>L10*L11/1000</f>
        <v>24451.534800000001</v>
      </c>
      <c r="M12" s="20">
        <f>M10*M11/1000</f>
        <v>24207.019451999997</v>
      </c>
      <c r="N12" s="20">
        <f>N10*N11/1000</f>
        <v>23964.949257479999</v>
      </c>
      <c r="O12" s="20">
        <f>O10*O11/1000</f>
        <v>23725.299764905198</v>
      </c>
      <c r="P12" s="20">
        <f>P10*P11/1000</f>
        <v>23488.04676725615</v>
      </c>
      <c r="Q12" s="20">
        <f>Q10*Q11/1000</f>
        <v>23253.166299583583</v>
      </c>
      <c r="R12" s="20">
        <f>R10*R11/1000</f>
        <v>23020.634636587747</v>
      </c>
      <c r="S12" s="20">
        <f>S10*S11/1000</f>
        <v>22790.428290221869</v>
      </c>
      <c r="T12" s="20">
        <f>T10*T11/1000</f>
        <v>22562.524007319651</v>
      </c>
      <c r="U12" s="20">
        <f>U10*U11/1000</f>
        <v>22336.89876724645</v>
      </c>
      <c r="V12" s="20">
        <f>V10*V11/1000</f>
        <v>22113.52977957399</v>
      </c>
      <c r="W12" s="20">
        <f>W10*W11/1000</f>
        <v>21892.39448177825</v>
      </c>
    </row>
    <row r="14" spans="1:23">
      <c r="B14" s="70">
        <f>+B9+1</f>
        <v>2</v>
      </c>
      <c r="C14" s="70" t="s">
        <v>107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</row>
    <row r="15" spans="1:23">
      <c r="C15" s="21" t="str">
        <f>Inputs!$C$23</f>
        <v>ES-PV1</v>
      </c>
      <c r="D15" s="22" t="str">
        <f>Inputs!$D$23</f>
        <v>Spain</v>
      </c>
      <c r="E15" s="21" t="str">
        <f>Inputs!$E$23</f>
        <v>Solar PV</v>
      </c>
      <c r="F15" s="81" t="s">
        <v>12</v>
      </c>
      <c r="G15" s="16">
        <f>SUM(I15:W15)</f>
        <v>2531638.3742742762</v>
      </c>
      <c r="I15" s="86">
        <f>Inputs!$F$23*Inputs!$G$23*Hours*(1-Inputs!$H$23)^(I$4-1)*I$6</f>
        <v>174762</v>
      </c>
      <c r="J15" s="86">
        <f>Inputs!$F$23*Inputs!$G$23*Hours*(1-Inputs!$H$23)^(J$4-1)*J$6</f>
        <v>173888.19</v>
      </c>
      <c r="K15" s="86">
        <f>Inputs!$F$23*Inputs!$G$23*Hours*(1-Inputs!$H$23)^(K$4-1)*K$6</f>
        <v>173018.74905000001</v>
      </c>
      <c r="L15" s="86">
        <f>Inputs!$F$23*Inputs!$G$23*Hours*(1-Inputs!$H$23)^(L$4-1)*L$6</f>
        <v>172153.65530474999</v>
      </c>
      <c r="M15" s="86">
        <f>Inputs!$F$23*Inputs!$G$23*Hours*(1-Inputs!$H$23)^(M$4-1)*M$6</f>
        <v>171292.88702822625</v>
      </c>
      <c r="N15" s="86">
        <f>Inputs!$F$23*Inputs!$G$23*Hours*(1-Inputs!$H$23)^(N$4-1)*N$6</f>
        <v>170436.42259308512</v>
      </c>
      <c r="O15" s="86">
        <f>Inputs!$F$23*Inputs!$G$23*Hours*(1-Inputs!$H$23)^(O$4-1)*O$6</f>
        <v>169584.24048011971</v>
      </c>
      <c r="P15" s="86">
        <f>Inputs!$F$23*Inputs!$G$23*Hours*(1-Inputs!$H$23)^(P$4-1)*P$6</f>
        <v>168736.3192777191</v>
      </c>
      <c r="Q15" s="86">
        <f>Inputs!$F$23*Inputs!$G$23*Hours*(1-Inputs!$H$23)^(Q$4-1)*Q$6</f>
        <v>167892.63768133053</v>
      </c>
      <c r="R15" s="86">
        <f>Inputs!$F$23*Inputs!$G$23*Hours*(1-Inputs!$H$23)^(R$4-1)*R$6</f>
        <v>167053.17449292386</v>
      </c>
      <c r="S15" s="86">
        <f>Inputs!$F$23*Inputs!$G$23*Hours*(1-Inputs!$H$23)^(S$4-1)*S$6</f>
        <v>166217.90862045923</v>
      </c>
      <c r="T15" s="86">
        <f>Inputs!$F$23*Inputs!$G$23*Hours*(1-Inputs!$H$23)^(T$4-1)*T$6</f>
        <v>165386.81907735695</v>
      </c>
      <c r="U15" s="86">
        <f>Inputs!$F$23*Inputs!$G$23*Hours*(1-Inputs!$H$23)^(U$4-1)*U$6</f>
        <v>164559.88498197016</v>
      </c>
      <c r="V15" s="86">
        <f>Inputs!$F$23*Inputs!$G$23*Hours*(1-Inputs!$H$23)^(V$4-1)*V$6</f>
        <v>163737.08555706032</v>
      </c>
      <c r="W15" s="86">
        <f>Inputs!$F$23*Inputs!$G$23*Hours*(1-Inputs!$H$23)^(W$4-1)*W$6</f>
        <v>162918.40012927502</v>
      </c>
    </row>
    <row r="16" spans="1:23">
      <c r="C16" s="22" t="str">
        <f>Inputs!$C$24</f>
        <v>PT-PV1</v>
      </c>
      <c r="D16" s="22" t="str">
        <f>Inputs!$D$24</f>
        <v>Portugal</v>
      </c>
      <c r="E16" s="22" t="str">
        <f>Inputs!$E$24</f>
        <v>Solar PV</v>
      </c>
      <c r="F16" s="82" t="s">
        <v>12</v>
      </c>
      <c r="G16" s="24">
        <f>SUM(I16:W16)</f>
        <v>1776588.3328240535</v>
      </c>
      <c r="H16" s="25"/>
      <c r="I16" s="87">
        <f>Inputs!$F$24*Inputs!$G$24*Hours*(1-Inputs!$H$24)^(I$4-1)*I$6</f>
        <v>122640</v>
      </c>
      <c r="J16" s="87">
        <f>Inputs!$F$24*Inputs!$G$24*Hours*(1-Inputs!$H$24)^(J$4-1)*J$6</f>
        <v>122026.8</v>
      </c>
      <c r="K16" s="87">
        <f>Inputs!$F$24*Inputs!$G$24*Hours*(1-Inputs!$H$24)^(K$4-1)*K$6</f>
        <v>121416.66600000001</v>
      </c>
      <c r="L16" s="87">
        <f>Inputs!$F$24*Inputs!$G$24*Hours*(1-Inputs!$H$24)^(L$4-1)*L$6</f>
        <v>120809.58267</v>
      </c>
      <c r="M16" s="87">
        <f>Inputs!$F$24*Inputs!$G$24*Hours*(1-Inputs!$H$24)^(M$4-1)*M$6</f>
        <v>120205.53475665001</v>
      </c>
      <c r="N16" s="87">
        <f>Inputs!$F$24*Inputs!$G$24*Hours*(1-Inputs!$H$24)^(N$4-1)*N$6</f>
        <v>119604.50708286677</v>
      </c>
      <c r="O16" s="87">
        <f>Inputs!$F$24*Inputs!$G$24*Hours*(1-Inputs!$H$24)^(O$4-1)*O$6</f>
        <v>119006.48454745243</v>
      </c>
      <c r="P16" s="87">
        <f>Inputs!$F$24*Inputs!$G$24*Hours*(1-Inputs!$H$24)^(P$4-1)*P$6</f>
        <v>118411.45212471516</v>
      </c>
      <c r="Q16" s="87">
        <f>Inputs!$F$24*Inputs!$G$24*Hours*(1-Inputs!$H$24)^(Q$4-1)*Q$6</f>
        <v>117819.39486409159</v>
      </c>
      <c r="R16" s="87">
        <f>Inputs!$F$24*Inputs!$G$24*Hours*(1-Inputs!$H$24)^(R$4-1)*R$6</f>
        <v>117230.29788977113</v>
      </c>
      <c r="S16" s="87">
        <f>Inputs!$F$24*Inputs!$G$24*Hours*(1-Inputs!$H$24)^(S$4-1)*S$6</f>
        <v>116644.14640032228</v>
      </c>
      <c r="T16" s="87">
        <f>Inputs!$F$24*Inputs!$G$24*Hours*(1-Inputs!$H$24)^(T$4-1)*T$6</f>
        <v>116060.92566832066</v>
      </c>
      <c r="U16" s="87">
        <f>Inputs!$F$24*Inputs!$G$24*Hours*(1-Inputs!$H$24)^(U$4-1)*U$6</f>
        <v>115480.62103997907</v>
      </c>
      <c r="V16" s="87">
        <f>Inputs!$F$24*Inputs!$G$24*Hours*(1-Inputs!$H$24)^(V$4-1)*V$6</f>
        <v>114903.21793477918</v>
      </c>
      <c r="W16" s="87">
        <f>Inputs!$F$24*Inputs!$G$24*Hours*(1-Inputs!$H$24)^(W$4-1)*W$6</f>
        <v>114328.70184510529</v>
      </c>
    </row>
    <row r="17" spans="2:23">
      <c r="C17" s="21" t="str">
        <f>Inputs!$C$25</f>
        <v>IT-PV1</v>
      </c>
      <c r="D17" s="21" t="str">
        <f>Inputs!$D$25</f>
        <v>Italy (Sud)</v>
      </c>
      <c r="E17" s="21" t="str">
        <f>Inputs!$E$25</f>
        <v>Solar PV</v>
      </c>
      <c r="F17" s="81" t="s">
        <v>12</v>
      </c>
      <c r="G17" s="16">
        <f>SUM(I17:W17)</f>
        <v>1827347.9994761692</v>
      </c>
      <c r="I17" s="86">
        <f>Inputs!$F$25*Inputs!$G$25*Hours*(1-Inputs!$H$25)^(I$4-1)*I$6</f>
        <v>126143.99999999999</v>
      </c>
      <c r="J17" s="86">
        <f>Inputs!$F$25*Inputs!$G$25*Hours*(1-Inputs!$H$25)^(J$4-1)*J$6</f>
        <v>125513.27999999998</v>
      </c>
      <c r="K17" s="86">
        <f>Inputs!$F$25*Inputs!$G$25*Hours*(1-Inputs!$H$25)^(K$4-1)*K$6</f>
        <v>124885.71359999999</v>
      </c>
      <c r="L17" s="86">
        <f>Inputs!$F$25*Inputs!$G$25*Hours*(1-Inputs!$H$25)^(L$4-1)*L$6</f>
        <v>124261.28503199999</v>
      </c>
      <c r="M17" s="86">
        <f>Inputs!$F$25*Inputs!$G$25*Hours*(1-Inputs!$H$25)^(M$4-1)*M$6</f>
        <v>123639.97860684</v>
      </c>
      <c r="N17" s="86">
        <f>Inputs!$F$25*Inputs!$G$25*Hours*(1-Inputs!$H$25)^(N$4-1)*N$6</f>
        <v>123021.77871380579</v>
      </c>
      <c r="O17" s="86">
        <f>Inputs!$F$25*Inputs!$G$25*Hours*(1-Inputs!$H$25)^(O$4-1)*O$6</f>
        <v>122406.66982023677</v>
      </c>
      <c r="P17" s="86">
        <f>Inputs!$F$25*Inputs!$G$25*Hours*(1-Inputs!$H$25)^(P$4-1)*P$6</f>
        <v>121794.63647113559</v>
      </c>
      <c r="Q17" s="86">
        <f>Inputs!$F$25*Inputs!$G$25*Hours*(1-Inputs!$H$25)^(Q$4-1)*Q$6</f>
        <v>121185.66328877991</v>
      </c>
      <c r="R17" s="86">
        <f>Inputs!$F$25*Inputs!$G$25*Hours*(1-Inputs!$H$25)^(R$4-1)*R$6</f>
        <v>120579.73497233599</v>
      </c>
      <c r="S17" s="86">
        <f>Inputs!$F$25*Inputs!$G$25*Hours*(1-Inputs!$H$25)^(S$4-1)*S$6</f>
        <v>119976.83629747432</v>
      </c>
      <c r="T17" s="86">
        <f>Inputs!$F$25*Inputs!$G$25*Hours*(1-Inputs!$H$25)^(T$4-1)*T$6</f>
        <v>119376.95211598695</v>
      </c>
      <c r="U17" s="86">
        <f>Inputs!$F$25*Inputs!$G$25*Hours*(1-Inputs!$H$25)^(U$4-1)*U$6</f>
        <v>118780.06735540702</v>
      </c>
      <c r="V17" s="86">
        <f>Inputs!$F$25*Inputs!$G$25*Hours*(1-Inputs!$H$25)^(V$4-1)*V$6</f>
        <v>118186.16701863</v>
      </c>
      <c r="W17" s="86">
        <f>Inputs!$F$25*Inputs!$G$25*Hours*(1-Inputs!$H$25)^(W$4-1)*W$6</f>
        <v>117595.23618353685</v>
      </c>
    </row>
    <row r="18" spans="2:23">
      <c r="C18" s="22" t="str">
        <f>Inputs!$C$26</f>
        <v>GR-PV1</v>
      </c>
      <c r="D18" s="22" t="str">
        <f>Inputs!$D$26</f>
        <v>Greece</v>
      </c>
      <c r="E18" s="22" t="str">
        <f>Inputs!$E$26</f>
        <v>Solar PV</v>
      </c>
      <c r="F18" s="82" t="s">
        <v>12</v>
      </c>
      <c r="G18" s="24">
        <f>SUM(I18:W18)</f>
        <v>1903487.4994543432</v>
      </c>
      <c r="H18" s="25"/>
      <c r="I18" s="87">
        <f>Inputs!$F$26*Inputs!$G$26*Hours*(1-Inputs!$H$26)^(I$4-1)*I$6</f>
        <v>131400</v>
      </c>
      <c r="J18" s="87">
        <f>Inputs!$F$26*Inputs!$G$26*Hours*(1-Inputs!$H$26)^(J$4-1)*J$6</f>
        <v>130743</v>
      </c>
      <c r="K18" s="87">
        <f>Inputs!$F$26*Inputs!$G$26*Hours*(1-Inputs!$H$26)^(K$4-1)*K$6</f>
        <v>130089.285</v>
      </c>
      <c r="L18" s="87">
        <f>Inputs!$F$26*Inputs!$G$26*Hours*(1-Inputs!$H$26)^(L$4-1)*L$6</f>
        <v>129438.838575</v>
      </c>
      <c r="M18" s="87">
        <f>Inputs!$F$26*Inputs!$G$26*Hours*(1-Inputs!$H$26)^(M$4-1)*M$6</f>
        <v>128791.64438212501</v>
      </c>
      <c r="N18" s="87">
        <f>Inputs!$F$26*Inputs!$G$26*Hours*(1-Inputs!$H$26)^(N$4-1)*N$6</f>
        <v>128147.68616021439</v>
      </c>
      <c r="O18" s="87">
        <f>Inputs!$F$26*Inputs!$G$26*Hours*(1-Inputs!$H$26)^(O$4-1)*O$6</f>
        <v>127506.94772941331</v>
      </c>
      <c r="P18" s="87">
        <f>Inputs!$F$26*Inputs!$G$26*Hours*(1-Inputs!$H$26)^(P$4-1)*P$6</f>
        <v>126869.41299076624</v>
      </c>
      <c r="Q18" s="87">
        <f>Inputs!$F$26*Inputs!$G$26*Hours*(1-Inputs!$H$26)^(Q$4-1)*Q$6</f>
        <v>126235.06592581242</v>
      </c>
      <c r="R18" s="87">
        <f>Inputs!$F$26*Inputs!$G$26*Hours*(1-Inputs!$H$26)^(R$4-1)*R$6</f>
        <v>125603.89059618335</v>
      </c>
      <c r="S18" s="87">
        <f>Inputs!$F$26*Inputs!$G$26*Hours*(1-Inputs!$H$26)^(S$4-1)*S$6</f>
        <v>124975.87114320244</v>
      </c>
      <c r="T18" s="87">
        <f>Inputs!$F$26*Inputs!$G$26*Hours*(1-Inputs!$H$26)^(T$4-1)*T$6</f>
        <v>124350.99178748642</v>
      </c>
      <c r="U18" s="87">
        <f>Inputs!$F$26*Inputs!$G$26*Hours*(1-Inputs!$H$26)^(U$4-1)*U$6</f>
        <v>123729.23682854899</v>
      </c>
      <c r="V18" s="87">
        <f>Inputs!$F$26*Inputs!$G$26*Hours*(1-Inputs!$H$26)^(V$4-1)*V$6</f>
        <v>123110.59064440626</v>
      </c>
      <c r="W18" s="87">
        <f>Inputs!$F$26*Inputs!$G$26*Hours*(1-Inputs!$H$26)^(W$4-1)*W$6</f>
        <v>122495.03769118423</v>
      </c>
    </row>
    <row r="19" spans="2:23">
      <c r="C19" s="21" t="str">
        <f>Inputs!$C$27</f>
        <v>FR-WN1</v>
      </c>
      <c r="D19" s="21" t="str">
        <f>Inputs!$D$27</f>
        <v>France</v>
      </c>
      <c r="E19" s="21" t="str">
        <f>Inputs!$E$27</f>
        <v>Onshore wind</v>
      </c>
      <c r="F19" s="81" t="s">
        <v>12</v>
      </c>
      <c r="G19" s="16">
        <f>SUM(I19:W19)</f>
        <v>1971000</v>
      </c>
      <c r="I19" s="86">
        <f>Inputs!$F$27*Inputs!$G$27*Hours*(1-Inputs!$H$27)^(I$4-1)*I$6</f>
        <v>131400</v>
      </c>
      <c r="J19" s="86">
        <f>Inputs!$F$27*Inputs!$G$27*Hours*(1-Inputs!$H$27)^(J$4-1)*J$6</f>
        <v>131400</v>
      </c>
      <c r="K19" s="86">
        <f>Inputs!$F$27*Inputs!$G$27*Hours*(1-Inputs!$H$27)^(K$4-1)*K$6</f>
        <v>131400</v>
      </c>
      <c r="L19" s="86">
        <f>Inputs!$F$27*Inputs!$G$27*Hours*(1-Inputs!$H$27)^(L$4-1)*L$6</f>
        <v>131400</v>
      </c>
      <c r="M19" s="86">
        <f>Inputs!$F$27*Inputs!$G$27*Hours*(1-Inputs!$H$27)^(M$4-1)*M$6</f>
        <v>131400</v>
      </c>
      <c r="N19" s="86">
        <f>Inputs!$F$27*Inputs!$G$27*Hours*(1-Inputs!$H$27)^(N$4-1)*N$6</f>
        <v>131400</v>
      </c>
      <c r="O19" s="86">
        <f>Inputs!$F$27*Inputs!$G$27*Hours*(1-Inputs!$H$27)^(O$4-1)*O$6</f>
        <v>131400</v>
      </c>
      <c r="P19" s="86">
        <f>Inputs!$F$27*Inputs!$G$27*Hours*(1-Inputs!$H$27)^(P$4-1)*P$6</f>
        <v>131400</v>
      </c>
      <c r="Q19" s="86">
        <f>Inputs!$F$27*Inputs!$G$27*Hours*(1-Inputs!$H$27)^(Q$4-1)*Q$6</f>
        <v>131400</v>
      </c>
      <c r="R19" s="86">
        <f>Inputs!$F$27*Inputs!$G$27*Hours*(1-Inputs!$H$27)^(R$4-1)*R$6</f>
        <v>131400</v>
      </c>
      <c r="S19" s="86">
        <f>Inputs!$F$27*Inputs!$G$27*Hours*(1-Inputs!$H$27)^(S$4-1)*S$6</f>
        <v>131400</v>
      </c>
      <c r="T19" s="86">
        <f>Inputs!$F$27*Inputs!$G$27*Hours*(1-Inputs!$H$27)^(T$4-1)*T$6</f>
        <v>131400</v>
      </c>
      <c r="U19" s="86">
        <f>Inputs!$F$27*Inputs!$G$27*Hours*(1-Inputs!$H$27)^(U$4-1)*U$6</f>
        <v>131400</v>
      </c>
      <c r="V19" s="86">
        <f>Inputs!$F$27*Inputs!$G$27*Hours*(1-Inputs!$H$27)^(V$4-1)*V$6</f>
        <v>131400</v>
      </c>
      <c r="W19" s="86">
        <f>Inputs!$F$27*Inputs!$G$27*Hours*(1-Inputs!$H$27)^(W$4-1)*W$6</f>
        <v>131400</v>
      </c>
    </row>
    <row r="20" spans="2:23">
      <c r="C20" s="22" t="str">
        <f>Inputs!$C$28</f>
        <v>DE-WN1</v>
      </c>
      <c r="D20" s="22" t="str">
        <f>Inputs!$D$28</f>
        <v>Germany</v>
      </c>
      <c r="E20" s="22" t="str">
        <f>Inputs!$E$28</f>
        <v>Onshore wind</v>
      </c>
      <c r="F20" s="82" t="s">
        <v>12</v>
      </c>
      <c r="G20" s="24">
        <f>SUM(I20:W20)</f>
        <v>2049840</v>
      </c>
      <c r="H20" s="25"/>
      <c r="I20" s="87">
        <f>Inputs!$F$28*Inputs!$G$28*Hours*(1-Inputs!$H$28)^(I$4-1)*I$6</f>
        <v>136656</v>
      </c>
      <c r="J20" s="87">
        <f>Inputs!$F$28*Inputs!$G$28*Hours*(1-Inputs!$H$28)^(J$4-1)*J$6</f>
        <v>136656</v>
      </c>
      <c r="K20" s="87">
        <f>Inputs!$F$28*Inputs!$G$28*Hours*(1-Inputs!$H$28)^(K$4-1)*K$6</f>
        <v>136656</v>
      </c>
      <c r="L20" s="87">
        <f>Inputs!$F$28*Inputs!$G$28*Hours*(1-Inputs!$H$28)^(L$4-1)*L$6</f>
        <v>136656</v>
      </c>
      <c r="M20" s="87">
        <f>Inputs!$F$28*Inputs!$G$28*Hours*(1-Inputs!$H$28)^(M$4-1)*M$6</f>
        <v>136656</v>
      </c>
      <c r="N20" s="87">
        <f>Inputs!$F$28*Inputs!$G$28*Hours*(1-Inputs!$H$28)^(N$4-1)*N$6</f>
        <v>136656</v>
      </c>
      <c r="O20" s="87">
        <f>Inputs!$F$28*Inputs!$G$28*Hours*(1-Inputs!$H$28)^(O$4-1)*O$6</f>
        <v>136656</v>
      </c>
      <c r="P20" s="87">
        <f>Inputs!$F$28*Inputs!$G$28*Hours*(1-Inputs!$H$28)^(P$4-1)*P$6</f>
        <v>136656</v>
      </c>
      <c r="Q20" s="87">
        <f>Inputs!$F$28*Inputs!$G$28*Hours*(1-Inputs!$H$28)^(Q$4-1)*Q$6</f>
        <v>136656</v>
      </c>
      <c r="R20" s="87">
        <f>Inputs!$F$28*Inputs!$G$28*Hours*(1-Inputs!$H$28)^(R$4-1)*R$6</f>
        <v>136656</v>
      </c>
      <c r="S20" s="87">
        <f>Inputs!$F$28*Inputs!$G$28*Hours*(1-Inputs!$H$28)^(S$4-1)*S$6</f>
        <v>136656</v>
      </c>
      <c r="T20" s="87">
        <f>Inputs!$F$28*Inputs!$G$28*Hours*(1-Inputs!$H$28)^(T$4-1)*T$6</f>
        <v>136656</v>
      </c>
      <c r="U20" s="87">
        <f>Inputs!$F$28*Inputs!$G$28*Hours*(1-Inputs!$H$28)^(U$4-1)*U$6</f>
        <v>136656</v>
      </c>
      <c r="V20" s="87">
        <f>Inputs!$F$28*Inputs!$G$28*Hours*(1-Inputs!$H$28)^(V$4-1)*V$6</f>
        <v>136656</v>
      </c>
      <c r="W20" s="87">
        <f>Inputs!$F$28*Inputs!$G$28*Hours*(1-Inputs!$H$28)^(W$4-1)*W$6</f>
        <v>136656</v>
      </c>
    </row>
    <row r="21" spans="2:23">
      <c r="C21" s="21" t="str">
        <f>Inputs!$C$29</f>
        <v>NL-OW1</v>
      </c>
      <c r="D21" s="21" t="str">
        <f>Inputs!$D$29</f>
        <v>Netherlands</v>
      </c>
      <c r="E21" s="21" t="str">
        <f>Inputs!$E$29</f>
        <v>Offshore wind</v>
      </c>
      <c r="F21" s="81" t="s">
        <v>12</v>
      </c>
      <c r="G21" s="16">
        <f>SUM(I21:W21)</f>
        <v>2483460</v>
      </c>
      <c r="I21" s="86">
        <f>Inputs!$F$29*Inputs!$G$29*Hours*(1-Inputs!$H$29)^(I$4-1)*I$6</f>
        <v>165564</v>
      </c>
      <c r="J21" s="86">
        <f>Inputs!$F$29*Inputs!$G$29*Hours*(1-Inputs!$H$29)^(J$4-1)*J$6</f>
        <v>165564</v>
      </c>
      <c r="K21" s="86">
        <f>Inputs!$F$29*Inputs!$G$29*Hours*(1-Inputs!$H$29)^(K$4-1)*K$6</f>
        <v>165564</v>
      </c>
      <c r="L21" s="86">
        <f>Inputs!$F$29*Inputs!$G$29*Hours*(1-Inputs!$H$29)^(L$4-1)*L$6</f>
        <v>165564</v>
      </c>
      <c r="M21" s="86">
        <f>Inputs!$F$29*Inputs!$G$29*Hours*(1-Inputs!$H$29)^(M$4-1)*M$6</f>
        <v>165564</v>
      </c>
      <c r="N21" s="86">
        <f>Inputs!$F$29*Inputs!$G$29*Hours*(1-Inputs!$H$29)^(N$4-1)*N$6</f>
        <v>165564</v>
      </c>
      <c r="O21" s="86">
        <f>Inputs!$F$29*Inputs!$G$29*Hours*(1-Inputs!$H$29)^(O$4-1)*O$6</f>
        <v>165564</v>
      </c>
      <c r="P21" s="86">
        <f>Inputs!$F$29*Inputs!$G$29*Hours*(1-Inputs!$H$29)^(P$4-1)*P$6</f>
        <v>165564</v>
      </c>
      <c r="Q21" s="86">
        <f>Inputs!$F$29*Inputs!$G$29*Hours*(1-Inputs!$H$29)^(Q$4-1)*Q$6</f>
        <v>165564</v>
      </c>
      <c r="R21" s="86">
        <f>Inputs!$F$29*Inputs!$G$29*Hours*(1-Inputs!$H$29)^(R$4-1)*R$6</f>
        <v>165564</v>
      </c>
      <c r="S21" s="86">
        <f>Inputs!$F$29*Inputs!$G$29*Hours*(1-Inputs!$H$29)^(S$4-1)*S$6</f>
        <v>165564</v>
      </c>
      <c r="T21" s="86">
        <f>Inputs!$F$29*Inputs!$G$29*Hours*(1-Inputs!$H$29)^(T$4-1)*T$6</f>
        <v>165564</v>
      </c>
      <c r="U21" s="86">
        <f>Inputs!$F$29*Inputs!$G$29*Hours*(1-Inputs!$H$29)^(U$4-1)*U$6</f>
        <v>165564</v>
      </c>
      <c r="V21" s="86">
        <f>Inputs!$F$29*Inputs!$G$29*Hours*(1-Inputs!$H$29)^(V$4-1)*V$6</f>
        <v>165564</v>
      </c>
      <c r="W21" s="86">
        <f>Inputs!$F$29*Inputs!$G$29*Hours*(1-Inputs!$H$29)^(W$4-1)*W$6</f>
        <v>165564</v>
      </c>
    </row>
    <row r="22" spans="2:23">
      <c r="C22" s="22" t="str">
        <f>Inputs!$C$30</f>
        <v>PL-WN1</v>
      </c>
      <c r="D22" s="22" t="str">
        <f>Inputs!$D$30</f>
        <v>Poland</v>
      </c>
      <c r="E22" s="22" t="str">
        <f>Inputs!$E$30</f>
        <v>Onshore wind</v>
      </c>
      <c r="F22" s="82" t="s">
        <v>12</v>
      </c>
      <c r="G22" s="24">
        <f>SUM(I22:W22)</f>
        <v>2168100</v>
      </c>
      <c r="H22" s="25"/>
      <c r="I22" s="87">
        <f>Inputs!$F$30*Inputs!$G$30*Hours*(1-Inputs!$H$30)^(I$4-1)*I$6</f>
        <v>144540</v>
      </c>
      <c r="J22" s="87">
        <f>Inputs!$F$30*Inputs!$G$30*Hours*(1-Inputs!$H$30)^(J$4-1)*J$6</f>
        <v>144540</v>
      </c>
      <c r="K22" s="87">
        <f>Inputs!$F$30*Inputs!$G$30*Hours*(1-Inputs!$H$30)^(K$4-1)*K$6</f>
        <v>144540</v>
      </c>
      <c r="L22" s="87">
        <f>Inputs!$F$30*Inputs!$G$30*Hours*(1-Inputs!$H$30)^(L$4-1)*L$6</f>
        <v>144540</v>
      </c>
      <c r="M22" s="87">
        <f>Inputs!$F$30*Inputs!$G$30*Hours*(1-Inputs!$H$30)^(M$4-1)*M$6</f>
        <v>144540</v>
      </c>
      <c r="N22" s="87">
        <f>Inputs!$F$30*Inputs!$G$30*Hours*(1-Inputs!$H$30)^(N$4-1)*N$6</f>
        <v>144540</v>
      </c>
      <c r="O22" s="87">
        <f>Inputs!$F$30*Inputs!$G$30*Hours*(1-Inputs!$H$30)^(O$4-1)*O$6</f>
        <v>144540</v>
      </c>
      <c r="P22" s="87">
        <f>Inputs!$F$30*Inputs!$G$30*Hours*(1-Inputs!$H$30)^(P$4-1)*P$6</f>
        <v>144540</v>
      </c>
      <c r="Q22" s="87">
        <f>Inputs!$F$30*Inputs!$G$30*Hours*(1-Inputs!$H$30)^(Q$4-1)*Q$6</f>
        <v>144540</v>
      </c>
      <c r="R22" s="87">
        <f>Inputs!$F$30*Inputs!$G$30*Hours*(1-Inputs!$H$30)^(R$4-1)*R$6</f>
        <v>144540</v>
      </c>
      <c r="S22" s="87">
        <f>Inputs!$F$30*Inputs!$G$30*Hours*(1-Inputs!$H$30)^(S$4-1)*S$6</f>
        <v>144540</v>
      </c>
      <c r="T22" s="87">
        <f>Inputs!$F$30*Inputs!$G$30*Hours*(1-Inputs!$H$30)^(T$4-1)*T$6</f>
        <v>144540</v>
      </c>
      <c r="U22" s="87">
        <f>Inputs!$F$30*Inputs!$G$30*Hours*(1-Inputs!$H$30)^(U$4-1)*U$6</f>
        <v>144540</v>
      </c>
      <c r="V22" s="87">
        <f>Inputs!$F$30*Inputs!$G$30*Hours*(1-Inputs!$H$30)^(V$4-1)*V$6</f>
        <v>144540</v>
      </c>
      <c r="W22" s="87">
        <f>Inputs!$F$30*Inputs!$G$30*Hours*(1-Inputs!$H$30)^(W$4-1)*W$6</f>
        <v>144540</v>
      </c>
    </row>
    <row r="23" spans="2:23">
      <c r="C23" s="21" t="str">
        <f>Inputs!$C$31</f>
        <v>SE-WN1</v>
      </c>
      <c r="D23" s="21" t="str">
        <f>Inputs!$D$31</f>
        <v>Sweden (SE3)</v>
      </c>
      <c r="E23" s="21" t="str">
        <f>Inputs!$E$31</f>
        <v>Onshore wind</v>
      </c>
      <c r="F23" s="81" t="s">
        <v>12</v>
      </c>
      <c r="G23" s="16">
        <f>SUM(I23:W23)</f>
        <v>2601720</v>
      </c>
      <c r="I23" s="86">
        <f>Inputs!$F$31*Inputs!$G$31*Hours*(1-Inputs!$H$31)^(I$4-1)*I$6</f>
        <v>173448</v>
      </c>
      <c r="J23" s="86">
        <f>Inputs!$F$31*Inputs!$G$31*Hours*(1-Inputs!$H$31)^(J$4-1)*J$6</f>
        <v>173448</v>
      </c>
      <c r="K23" s="86">
        <f>Inputs!$F$31*Inputs!$G$31*Hours*(1-Inputs!$H$31)^(K$4-1)*K$6</f>
        <v>173448</v>
      </c>
      <c r="L23" s="86">
        <f>Inputs!$F$31*Inputs!$G$31*Hours*(1-Inputs!$H$31)^(L$4-1)*L$6</f>
        <v>173448</v>
      </c>
      <c r="M23" s="86">
        <f>Inputs!$F$31*Inputs!$G$31*Hours*(1-Inputs!$H$31)^(M$4-1)*M$6</f>
        <v>173448</v>
      </c>
      <c r="N23" s="86">
        <f>Inputs!$F$31*Inputs!$G$31*Hours*(1-Inputs!$H$31)^(N$4-1)*N$6</f>
        <v>173448</v>
      </c>
      <c r="O23" s="86">
        <f>Inputs!$F$31*Inputs!$G$31*Hours*(1-Inputs!$H$31)^(O$4-1)*O$6</f>
        <v>173448</v>
      </c>
      <c r="P23" s="86">
        <f>Inputs!$F$31*Inputs!$G$31*Hours*(1-Inputs!$H$31)^(P$4-1)*P$6</f>
        <v>173448</v>
      </c>
      <c r="Q23" s="86">
        <f>Inputs!$F$31*Inputs!$G$31*Hours*(1-Inputs!$H$31)^(Q$4-1)*Q$6</f>
        <v>173448</v>
      </c>
      <c r="R23" s="86">
        <f>Inputs!$F$31*Inputs!$G$31*Hours*(1-Inputs!$H$31)^(R$4-1)*R$6</f>
        <v>173448</v>
      </c>
      <c r="S23" s="86">
        <f>Inputs!$F$31*Inputs!$G$31*Hours*(1-Inputs!$H$31)^(S$4-1)*S$6</f>
        <v>173448</v>
      </c>
      <c r="T23" s="86">
        <f>Inputs!$F$31*Inputs!$G$31*Hours*(1-Inputs!$H$31)^(T$4-1)*T$6</f>
        <v>173448</v>
      </c>
      <c r="U23" s="86">
        <f>Inputs!$F$31*Inputs!$G$31*Hours*(1-Inputs!$H$31)^(U$4-1)*U$6</f>
        <v>173448</v>
      </c>
      <c r="V23" s="86">
        <f>Inputs!$F$31*Inputs!$G$31*Hours*(1-Inputs!$H$31)^(V$4-1)*V$6</f>
        <v>173448</v>
      </c>
      <c r="W23" s="86">
        <f>Inputs!$F$31*Inputs!$G$31*Hours*(1-Inputs!$H$31)^(W$4-1)*W$6</f>
        <v>173448</v>
      </c>
    </row>
    <row r="24" spans="2:23">
      <c r="C24" s="22" t="str">
        <f>Inputs!$C$32</f>
        <v>FI-WN1</v>
      </c>
      <c r="D24" s="22" t="str">
        <f>Inputs!$D$32</f>
        <v>Finland</v>
      </c>
      <c r="E24" s="22" t="str">
        <f>Inputs!$E$32</f>
        <v>Onshore wind</v>
      </c>
      <c r="F24" s="82" t="s">
        <v>12</v>
      </c>
      <c r="G24" s="24">
        <f>SUM(I24:W24)</f>
        <v>2299500</v>
      </c>
      <c r="H24" s="25"/>
      <c r="I24" s="87">
        <f>Inputs!$F$32*Inputs!$G$32*Hours*(1-Inputs!$H$32)^(I$4-1)*I$6</f>
        <v>153300</v>
      </c>
      <c r="J24" s="87">
        <f>Inputs!$F$32*Inputs!$G$32*Hours*(1-Inputs!$H$32)^(J$4-1)*J$6</f>
        <v>153300</v>
      </c>
      <c r="K24" s="87">
        <f>Inputs!$F$32*Inputs!$G$32*Hours*(1-Inputs!$H$32)^(K$4-1)*K$6</f>
        <v>153300</v>
      </c>
      <c r="L24" s="87">
        <f>Inputs!$F$32*Inputs!$G$32*Hours*(1-Inputs!$H$32)^(L$4-1)*L$6</f>
        <v>153300</v>
      </c>
      <c r="M24" s="87">
        <f>Inputs!$F$32*Inputs!$G$32*Hours*(1-Inputs!$H$32)^(M$4-1)*M$6</f>
        <v>153300</v>
      </c>
      <c r="N24" s="87">
        <f>Inputs!$F$32*Inputs!$G$32*Hours*(1-Inputs!$H$32)^(N$4-1)*N$6</f>
        <v>153300</v>
      </c>
      <c r="O24" s="87">
        <f>Inputs!$F$32*Inputs!$G$32*Hours*(1-Inputs!$H$32)^(O$4-1)*O$6</f>
        <v>153300</v>
      </c>
      <c r="P24" s="87">
        <f>Inputs!$F$32*Inputs!$G$32*Hours*(1-Inputs!$H$32)^(P$4-1)*P$6</f>
        <v>153300</v>
      </c>
      <c r="Q24" s="87">
        <f>Inputs!$F$32*Inputs!$G$32*Hours*(1-Inputs!$H$32)^(Q$4-1)*Q$6</f>
        <v>153300</v>
      </c>
      <c r="R24" s="87">
        <f>Inputs!$F$32*Inputs!$G$32*Hours*(1-Inputs!$H$32)^(R$4-1)*R$6</f>
        <v>153300</v>
      </c>
      <c r="S24" s="87">
        <f>Inputs!$F$32*Inputs!$G$32*Hours*(1-Inputs!$H$32)^(S$4-1)*S$6</f>
        <v>153300</v>
      </c>
      <c r="T24" s="87">
        <f>Inputs!$F$32*Inputs!$G$32*Hours*(1-Inputs!$H$32)^(T$4-1)*T$6</f>
        <v>153300</v>
      </c>
      <c r="U24" s="87">
        <f>Inputs!$F$32*Inputs!$G$32*Hours*(1-Inputs!$H$32)^(U$4-1)*U$6</f>
        <v>153300</v>
      </c>
      <c r="V24" s="87">
        <f>Inputs!$F$32*Inputs!$G$32*Hours*(1-Inputs!$H$32)^(V$4-1)*V$6</f>
        <v>153300</v>
      </c>
      <c r="W24" s="87">
        <f>Inputs!$F$32*Inputs!$G$32*Hours*(1-Inputs!$H$32)^(W$4-1)*W$6</f>
        <v>153300</v>
      </c>
    </row>
    <row r="26" spans="2:23">
      <c r="B26" s="70">
        <f>+B14+1</f>
        <v>3</v>
      </c>
      <c r="C26" s="70" t="s">
        <v>108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</row>
    <row r="27" spans="2:23">
      <c r="C27" s="21" t="str">
        <f>Inputs!$C$23</f>
        <v>ES-PV1</v>
      </c>
      <c r="D27" s="21" t="str">
        <f>Inputs!$D$23</f>
        <v>Spain</v>
      </c>
      <c r="E27" s="21" t="str">
        <f>Inputs!$E$23</f>
        <v>Solar PV</v>
      </c>
      <c r="F27" s="81" t="s">
        <v>34</v>
      </c>
      <c r="G27" s="26">
        <f>IF($G$10=0,0,G15/$G$10)</f>
        <v>0.70323288174285448</v>
      </c>
      <c r="I27" s="27">
        <f>IF(I$10=0,0,I15/I$10)</f>
        <v>0.72817500000000002</v>
      </c>
      <c r="J27" s="27">
        <f>IF(J$10=0,0,J15/J$10)</f>
        <v>0.72453412500000003</v>
      </c>
      <c r="K27" s="27">
        <f>IF(K$10=0,0,K15/K$10)</f>
        <v>0.72091145437500004</v>
      </c>
      <c r="L27" s="27">
        <f>IF(L$10=0,0,L15/L$10)</f>
        <v>0.71730689710312501</v>
      </c>
      <c r="M27" s="27">
        <f>IF(M$10=0,0,M15/M$10)</f>
        <v>0.71372036261760941</v>
      </c>
      <c r="N27" s="27">
        <f>IF(N$10=0,0,N15/N$10)</f>
        <v>0.71015176080452136</v>
      </c>
      <c r="O27" s="27">
        <f>IF(O$10=0,0,O15/O$10)</f>
        <v>0.7066010020004988</v>
      </c>
      <c r="P27" s="27">
        <f>IF(P$10=0,0,P15/P$10)</f>
        <v>0.70306799699049627</v>
      </c>
      <c r="Q27" s="27">
        <f>IF(Q$10=0,0,Q15/Q$10)</f>
        <v>0.69955265700554381</v>
      </c>
      <c r="R27" s="27">
        <f>IF(R$10=0,0,R15/R$10)</f>
        <v>0.6960548937205161</v>
      </c>
      <c r="S27" s="27">
        <f>IF(S$10=0,0,S15/S$10)</f>
        <v>0.69257461925191344</v>
      </c>
      <c r="T27" s="27">
        <f>IF(T$10=0,0,T15/T$10)</f>
        <v>0.68911174615565396</v>
      </c>
      <c r="U27" s="27">
        <f>IF(U$10=0,0,U15/U$10)</f>
        <v>0.68566618742487562</v>
      </c>
      <c r="V27" s="27">
        <f>IF(V$10=0,0,V15/V$10)</f>
        <v>0.68223785648775137</v>
      </c>
      <c r="W27" s="27">
        <f>IF(W$10=0,0,W15/W$10)</f>
        <v>0.67882666720531259</v>
      </c>
    </row>
    <row r="28" spans="2:23">
      <c r="C28" s="22" t="str">
        <f>Inputs!$C$24</f>
        <v>PT-PV1</v>
      </c>
      <c r="D28" s="22" t="str">
        <f>Inputs!$D$24</f>
        <v>Portugal</v>
      </c>
      <c r="E28" s="22" t="str">
        <f>Inputs!$E$24</f>
        <v>Solar PV</v>
      </c>
      <c r="F28" s="82" t="s">
        <v>34</v>
      </c>
      <c r="G28" s="28">
        <f>IF($G$10=0,0,G16/$G$10)</f>
        <v>0.49349675911779262</v>
      </c>
      <c r="H28" s="25"/>
      <c r="I28" s="29">
        <f>IF(I$10=0,0,I16/I$10)</f>
        <v>0.51100000000000001</v>
      </c>
      <c r="J28" s="29">
        <f>IF(J$10=0,0,J16/J$10)</f>
        <v>0.50844500000000004</v>
      </c>
      <c r="K28" s="29">
        <f>IF(K$10=0,0,K16/K$10)</f>
        <v>0.50590277500000003</v>
      </c>
      <c r="L28" s="29">
        <f>IF(L$10=0,0,L16/L$10)</f>
        <v>0.50337326112500003</v>
      </c>
      <c r="M28" s="29">
        <f>IF(M$10=0,0,M16/M$10)</f>
        <v>0.50085639481937505</v>
      </c>
      <c r="N28" s="29">
        <f>IF(N$10=0,0,N16/N$10)</f>
        <v>0.49835211284527819</v>
      </c>
      <c r="O28" s="29">
        <f>IF(O$10=0,0,O16/O$10)</f>
        <v>0.4958603522810518</v>
      </c>
      <c r="P28" s="29">
        <f>IF(P$10=0,0,P16/P$10)</f>
        <v>0.49338105051964648</v>
      </c>
      <c r="Q28" s="29">
        <f>IF(Q$10=0,0,Q16/Q$10)</f>
        <v>0.4909141452670483</v>
      </c>
      <c r="R28" s="29">
        <f>IF(R$10=0,0,R16/R$10)</f>
        <v>0.48845957454071304</v>
      </c>
      <c r="S28" s="29">
        <f>IF(S$10=0,0,S16/S$10)</f>
        <v>0.48601727666800948</v>
      </c>
      <c r="T28" s="29">
        <f>IF(T$10=0,0,T16/T$10)</f>
        <v>0.4835871902846694</v>
      </c>
      <c r="U28" s="29">
        <f>IF(U$10=0,0,U16/U$10)</f>
        <v>0.48116925433324614</v>
      </c>
      <c r="V28" s="29">
        <f>IF(V$10=0,0,V16/V$10)</f>
        <v>0.47876340806157991</v>
      </c>
      <c r="W28" s="29">
        <f>IF(W$10=0,0,W16/W$10)</f>
        <v>0.47636959102127202</v>
      </c>
    </row>
    <row r="29" spans="2:23">
      <c r="C29" s="21" t="str">
        <f>Inputs!$C$25</f>
        <v>IT-PV1</v>
      </c>
      <c r="D29" s="21" t="str">
        <f>Inputs!$D$25</f>
        <v>Italy (Sud)</v>
      </c>
      <c r="E29" s="21" t="str">
        <f>Inputs!$E$25</f>
        <v>Solar PV</v>
      </c>
      <c r="F29" s="81" t="s">
        <v>34</v>
      </c>
      <c r="G29" s="26">
        <f>IF($G$10=0,0,G17/$G$10)</f>
        <v>0.50759666652115809</v>
      </c>
      <c r="I29" s="27">
        <f>IF(I$10=0,0,I17/I$10)</f>
        <v>0.52559999999999996</v>
      </c>
      <c r="J29" s="27">
        <f>IF(J$10=0,0,J17/J$10)</f>
        <v>0.52297199999999988</v>
      </c>
      <c r="K29" s="27">
        <f>IF(K$10=0,0,K17/K$10)</f>
        <v>0.52035714</v>
      </c>
      <c r="L29" s="27">
        <f>IF(L$10=0,0,L17/L$10)</f>
        <v>0.51775535429999997</v>
      </c>
      <c r="M29" s="27">
        <f>IF(M$10=0,0,M17/M$10)</f>
        <v>0.51516657752850004</v>
      </c>
      <c r="N29" s="27">
        <f>IF(N$10=0,0,N17/N$10)</f>
        <v>0.51259074464085741</v>
      </c>
      <c r="O29" s="27">
        <f>IF(O$10=0,0,O17/O$10)</f>
        <v>0.51002779091765316</v>
      </c>
      <c r="P29" s="27">
        <f>IF(P$10=0,0,P17/P$10)</f>
        <v>0.50747765196306494</v>
      </c>
      <c r="Q29" s="27">
        <f>IF(Q$10=0,0,Q17/Q$10)</f>
        <v>0.50494026370324963</v>
      </c>
      <c r="R29" s="27">
        <f>IF(R$10=0,0,R17/R$10)</f>
        <v>0.50241556238473328</v>
      </c>
      <c r="S29" s="27">
        <f>IF(S$10=0,0,S17/S$10)</f>
        <v>0.4999034845728097</v>
      </c>
      <c r="T29" s="27">
        <f>IF(T$10=0,0,T17/T$10)</f>
        <v>0.49740396714994561</v>
      </c>
      <c r="U29" s="27">
        <f>IF(U$10=0,0,U17/U$10)</f>
        <v>0.49491694731419594</v>
      </c>
      <c r="V29" s="27">
        <f>IF(V$10=0,0,V17/V$10)</f>
        <v>0.49244236257762503</v>
      </c>
      <c r="W29" s="27">
        <f>IF(W$10=0,0,W17/W$10)</f>
        <v>0.48998015076473689</v>
      </c>
    </row>
    <row r="30" spans="2:23">
      <c r="C30" s="22" t="str">
        <f>Inputs!$C$26</f>
        <v>GR-PV1</v>
      </c>
      <c r="D30" s="22" t="str">
        <f>Inputs!$D$26</f>
        <v>Greece</v>
      </c>
      <c r="E30" s="22" t="str">
        <f>Inputs!$E$26</f>
        <v>Solar PV</v>
      </c>
      <c r="F30" s="82" t="s">
        <v>34</v>
      </c>
      <c r="G30" s="28">
        <f>IF($G$10=0,0,G18/$G$10)</f>
        <v>0.52874652762620644</v>
      </c>
      <c r="H30" s="25"/>
      <c r="I30" s="29">
        <f>IF(I$10=0,0,I18/I$10)</f>
        <v>0.54749999999999999</v>
      </c>
      <c r="J30" s="29">
        <f>IF(J$10=0,0,J18/J$10)</f>
        <v>0.54476250000000004</v>
      </c>
      <c r="K30" s="29">
        <f>IF(K$10=0,0,K18/K$10)</f>
        <v>0.54203868750000006</v>
      </c>
      <c r="L30" s="29">
        <f>IF(L$10=0,0,L18/L$10)</f>
        <v>0.53932849406250005</v>
      </c>
      <c r="M30" s="29">
        <f>IF(M$10=0,0,M18/M$10)</f>
        <v>0.53663185159218751</v>
      </c>
      <c r="N30" s="29">
        <f>IF(N$10=0,0,N18/N$10)</f>
        <v>0.53394869233422659</v>
      </c>
      <c r="O30" s="29">
        <f>IF(O$10=0,0,O18/O$10)</f>
        <v>0.53127894887255545</v>
      </c>
      <c r="P30" s="29">
        <f>IF(P$10=0,0,P18/P$10)</f>
        <v>0.5286225541281927</v>
      </c>
      <c r="Q30" s="29">
        <f>IF(Q$10=0,0,Q18/Q$10)</f>
        <v>0.5259794413575517</v>
      </c>
      <c r="R30" s="29">
        <f>IF(R$10=0,0,R18/R$10)</f>
        <v>0.52334954415076396</v>
      </c>
      <c r="S30" s="29">
        <f>IF(S$10=0,0,S18/S$10)</f>
        <v>0.52073279643001014</v>
      </c>
      <c r="T30" s="29">
        <f>IF(T$10=0,0,T18/T$10)</f>
        <v>0.51812913244786007</v>
      </c>
      <c r="U30" s="29">
        <f>IF(U$10=0,0,U18/U$10)</f>
        <v>0.51553848678562075</v>
      </c>
      <c r="V30" s="29">
        <f>IF(V$10=0,0,V18/V$10)</f>
        <v>0.51296079435169273</v>
      </c>
      <c r="W30" s="29">
        <f>IF(W$10=0,0,W18/W$10)</f>
        <v>0.51039599037993433</v>
      </c>
    </row>
    <row r="31" spans="2:23">
      <c r="C31" s="21" t="str">
        <f>Inputs!$C$27</f>
        <v>FR-WN1</v>
      </c>
      <c r="D31" s="21" t="str">
        <f>Inputs!$D$27</f>
        <v>France</v>
      </c>
      <c r="E31" s="21" t="str">
        <f>Inputs!$E$27</f>
        <v>Onshore wind</v>
      </c>
      <c r="F31" s="81" t="s">
        <v>34</v>
      </c>
      <c r="G31" s="26">
        <f>IF($G$10=0,0,G19/$G$10)</f>
        <v>0.54749999999999999</v>
      </c>
      <c r="I31" s="27">
        <f>IF(I$10=0,0,I19/I$10)</f>
        <v>0.54749999999999999</v>
      </c>
      <c r="J31" s="27">
        <f>IF(J$10=0,0,J19/J$10)</f>
        <v>0.54749999999999999</v>
      </c>
      <c r="K31" s="27">
        <f>IF(K$10=0,0,K19/K$10)</f>
        <v>0.54749999999999999</v>
      </c>
      <c r="L31" s="27">
        <f>IF(L$10=0,0,L19/L$10)</f>
        <v>0.54749999999999999</v>
      </c>
      <c r="M31" s="27">
        <f>IF(M$10=0,0,M19/M$10)</f>
        <v>0.54749999999999999</v>
      </c>
      <c r="N31" s="27">
        <f>IF(N$10=0,0,N19/N$10)</f>
        <v>0.54749999999999999</v>
      </c>
      <c r="O31" s="27">
        <f>IF(O$10=0,0,O19/O$10)</f>
        <v>0.54749999999999999</v>
      </c>
      <c r="P31" s="27">
        <f>IF(P$10=0,0,P19/P$10)</f>
        <v>0.54749999999999999</v>
      </c>
      <c r="Q31" s="27">
        <f>IF(Q$10=0,0,Q19/Q$10)</f>
        <v>0.54749999999999999</v>
      </c>
      <c r="R31" s="27">
        <f>IF(R$10=0,0,R19/R$10)</f>
        <v>0.54749999999999999</v>
      </c>
      <c r="S31" s="27">
        <f>IF(S$10=0,0,S19/S$10)</f>
        <v>0.54749999999999999</v>
      </c>
      <c r="T31" s="27">
        <f>IF(T$10=0,0,T19/T$10)</f>
        <v>0.54749999999999999</v>
      </c>
      <c r="U31" s="27">
        <f>IF(U$10=0,0,U19/U$10)</f>
        <v>0.54749999999999999</v>
      </c>
      <c r="V31" s="27">
        <f>IF(V$10=0,0,V19/V$10)</f>
        <v>0.54749999999999999</v>
      </c>
      <c r="W31" s="27">
        <f>IF(W$10=0,0,W19/W$10)</f>
        <v>0.54749999999999999</v>
      </c>
    </row>
    <row r="32" spans="2:23">
      <c r="C32" s="22" t="str">
        <f>Inputs!$C$28</f>
        <v>DE-WN1</v>
      </c>
      <c r="D32" s="22" t="str">
        <f>Inputs!$D$28</f>
        <v>Germany</v>
      </c>
      <c r="E32" s="22" t="str">
        <f>Inputs!$E$28</f>
        <v>Onshore wind</v>
      </c>
      <c r="F32" s="82" t="s">
        <v>34</v>
      </c>
      <c r="G32" s="28">
        <f>IF($G$10=0,0,G20/$G$10)</f>
        <v>0.56940000000000002</v>
      </c>
      <c r="H32" s="25"/>
      <c r="I32" s="29">
        <f>IF(I$10=0,0,I20/I$10)</f>
        <v>0.56940000000000002</v>
      </c>
      <c r="J32" s="29">
        <f>IF(J$10=0,0,J20/J$10)</f>
        <v>0.56940000000000002</v>
      </c>
      <c r="K32" s="29">
        <f>IF(K$10=0,0,K20/K$10)</f>
        <v>0.56940000000000002</v>
      </c>
      <c r="L32" s="29">
        <f>IF(L$10=0,0,L20/L$10)</f>
        <v>0.56940000000000002</v>
      </c>
      <c r="M32" s="29">
        <f>IF(M$10=0,0,M20/M$10)</f>
        <v>0.56940000000000002</v>
      </c>
      <c r="N32" s="29">
        <f>IF(N$10=0,0,N20/N$10)</f>
        <v>0.56940000000000002</v>
      </c>
      <c r="O32" s="29">
        <f>IF(O$10=0,0,O20/O$10)</f>
        <v>0.56940000000000002</v>
      </c>
      <c r="P32" s="29">
        <f>IF(P$10=0,0,P20/P$10)</f>
        <v>0.56940000000000002</v>
      </c>
      <c r="Q32" s="29">
        <f>IF(Q$10=0,0,Q20/Q$10)</f>
        <v>0.56940000000000002</v>
      </c>
      <c r="R32" s="29">
        <f>IF(R$10=0,0,R20/R$10)</f>
        <v>0.56940000000000002</v>
      </c>
      <c r="S32" s="29">
        <f>IF(S$10=0,0,S20/S$10)</f>
        <v>0.56940000000000002</v>
      </c>
      <c r="T32" s="29">
        <f>IF(T$10=0,0,T20/T$10)</f>
        <v>0.56940000000000002</v>
      </c>
      <c r="U32" s="29">
        <f>IF(U$10=0,0,U20/U$10)</f>
        <v>0.56940000000000002</v>
      </c>
      <c r="V32" s="29">
        <f>IF(V$10=0,0,V20/V$10)</f>
        <v>0.56940000000000002</v>
      </c>
      <c r="W32" s="29">
        <f>IF(W$10=0,0,W20/W$10)</f>
        <v>0.56940000000000002</v>
      </c>
    </row>
    <row r="33" spans="2:23">
      <c r="C33" s="21" t="str">
        <f>Inputs!$C$29</f>
        <v>NL-OW1</v>
      </c>
      <c r="D33" s="21" t="str">
        <f>Inputs!$D$29</f>
        <v>Netherlands</v>
      </c>
      <c r="E33" s="21" t="str">
        <f>Inputs!$E$29</f>
        <v>Offshore wind</v>
      </c>
      <c r="F33" s="81" t="s">
        <v>34</v>
      </c>
      <c r="G33" s="26">
        <f>IF($G$10=0,0,G21/$G$10)</f>
        <v>0.68984999999999996</v>
      </c>
      <c r="I33" s="27">
        <f>IF(I$10=0,0,I21/I$10)</f>
        <v>0.68984999999999996</v>
      </c>
      <c r="J33" s="27">
        <f>IF(J$10=0,0,J21/J$10)</f>
        <v>0.68984999999999996</v>
      </c>
      <c r="K33" s="27">
        <f>IF(K$10=0,0,K21/K$10)</f>
        <v>0.68984999999999996</v>
      </c>
      <c r="L33" s="27">
        <f>IF(L$10=0,0,L21/L$10)</f>
        <v>0.68984999999999996</v>
      </c>
      <c r="M33" s="27">
        <f>IF(M$10=0,0,M21/M$10)</f>
        <v>0.68984999999999996</v>
      </c>
      <c r="N33" s="27">
        <f>IF(N$10=0,0,N21/N$10)</f>
        <v>0.68984999999999996</v>
      </c>
      <c r="O33" s="27">
        <f>IF(O$10=0,0,O21/O$10)</f>
        <v>0.68984999999999996</v>
      </c>
      <c r="P33" s="27">
        <f>IF(P$10=0,0,P21/P$10)</f>
        <v>0.68984999999999996</v>
      </c>
      <c r="Q33" s="27">
        <f>IF(Q$10=0,0,Q21/Q$10)</f>
        <v>0.68984999999999996</v>
      </c>
      <c r="R33" s="27">
        <f>IF(R$10=0,0,R21/R$10)</f>
        <v>0.68984999999999996</v>
      </c>
      <c r="S33" s="27">
        <f>IF(S$10=0,0,S21/S$10)</f>
        <v>0.68984999999999996</v>
      </c>
      <c r="T33" s="27">
        <f>IF(T$10=0,0,T21/T$10)</f>
        <v>0.68984999999999996</v>
      </c>
      <c r="U33" s="27">
        <f>IF(U$10=0,0,U21/U$10)</f>
        <v>0.68984999999999996</v>
      </c>
      <c r="V33" s="27">
        <f>IF(V$10=0,0,V21/V$10)</f>
        <v>0.68984999999999996</v>
      </c>
      <c r="W33" s="27">
        <f>IF(W$10=0,0,W21/W$10)</f>
        <v>0.68984999999999996</v>
      </c>
    </row>
    <row r="34" spans="2:23">
      <c r="C34" s="22" t="str">
        <f>Inputs!$C$30</f>
        <v>PL-WN1</v>
      </c>
      <c r="D34" s="22" t="str">
        <f>Inputs!$D$30</f>
        <v>Poland</v>
      </c>
      <c r="E34" s="22" t="str">
        <f>Inputs!$E$30</f>
        <v>Onshore wind</v>
      </c>
      <c r="F34" s="82" t="s">
        <v>34</v>
      </c>
      <c r="G34" s="28">
        <f>IF($G$10=0,0,G22/$G$10)</f>
        <v>0.60224999999999995</v>
      </c>
      <c r="H34" s="25"/>
      <c r="I34" s="29">
        <f>IF(I$10=0,0,I22/I$10)</f>
        <v>0.60224999999999995</v>
      </c>
      <c r="J34" s="29">
        <f>IF(J$10=0,0,J22/J$10)</f>
        <v>0.60224999999999995</v>
      </c>
      <c r="K34" s="29">
        <f>IF(K$10=0,0,K22/K$10)</f>
        <v>0.60224999999999995</v>
      </c>
      <c r="L34" s="29">
        <f>IF(L$10=0,0,L22/L$10)</f>
        <v>0.60224999999999995</v>
      </c>
      <c r="M34" s="29">
        <f>IF(M$10=0,0,M22/M$10)</f>
        <v>0.60224999999999995</v>
      </c>
      <c r="N34" s="29">
        <f>IF(N$10=0,0,N22/N$10)</f>
        <v>0.60224999999999995</v>
      </c>
      <c r="O34" s="29">
        <f>IF(O$10=0,0,O22/O$10)</f>
        <v>0.60224999999999995</v>
      </c>
      <c r="P34" s="29">
        <f>IF(P$10=0,0,P22/P$10)</f>
        <v>0.60224999999999995</v>
      </c>
      <c r="Q34" s="29">
        <f>IF(Q$10=0,0,Q22/Q$10)</f>
        <v>0.60224999999999995</v>
      </c>
      <c r="R34" s="29">
        <f>IF(R$10=0,0,R22/R$10)</f>
        <v>0.60224999999999995</v>
      </c>
      <c r="S34" s="29">
        <f>IF(S$10=0,0,S22/S$10)</f>
        <v>0.60224999999999995</v>
      </c>
      <c r="T34" s="29">
        <f>IF(T$10=0,0,T22/T$10)</f>
        <v>0.60224999999999995</v>
      </c>
      <c r="U34" s="29">
        <f>IF(U$10=0,0,U22/U$10)</f>
        <v>0.60224999999999995</v>
      </c>
      <c r="V34" s="29">
        <f>IF(V$10=0,0,V22/V$10)</f>
        <v>0.60224999999999995</v>
      </c>
      <c r="W34" s="29">
        <f>IF(W$10=0,0,W22/W$10)</f>
        <v>0.60224999999999995</v>
      </c>
    </row>
    <row r="35" spans="2:23">
      <c r="C35" s="21" t="str">
        <f>Inputs!$C$31</f>
        <v>SE-WN1</v>
      </c>
      <c r="D35" s="21" t="str">
        <f>Inputs!$D$31</f>
        <v>Sweden (SE3)</v>
      </c>
      <c r="E35" s="21" t="str">
        <f>Inputs!$E$31</f>
        <v>Onshore wind</v>
      </c>
      <c r="F35" s="81" t="s">
        <v>34</v>
      </c>
      <c r="G35" s="26">
        <f>IF($G$10=0,0,G23/$G$10)</f>
        <v>0.72270000000000001</v>
      </c>
      <c r="I35" s="27">
        <f>IF(I$10=0,0,I23/I$10)</f>
        <v>0.72270000000000001</v>
      </c>
      <c r="J35" s="27">
        <f>IF(J$10=0,0,J23/J$10)</f>
        <v>0.72270000000000001</v>
      </c>
      <c r="K35" s="27">
        <f>IF(K$10=0,0,K23/K$10)</f>
        <v>0.72270000000000001</v>
      </c>
      <c r="L35" s="27">
        <f>IF(L$10=0,0,L23/L$10)</f>
        <v>0.72270000000000001</v>
      </c>
      <c r="M35" s="27">
        <f>IF(M$10=0,0,M23/M$10)</f>
        <v>0.72270000000000001</v>
      </c>
      <c r="N35" s="27">
        <f>IF(N$10=0,0,N23/N$10)</f>
        <v>0.72270000000000001</v>
      </c>
      <c r="O35" s="27">
        <f>IF(O$10=0,0,O23/O$10)</f>
        <v>0.72270000000000001</v>
      </c>
      <c r="P35" s="27">
        <f>IF(P$10=0,0,P23/P$10)</f>
        <v>0.72270000000000001</v>
      </c>
      <c r="Q35" s="27">
        <f>IF(Q$10=0,0,Q23/Q$10)</f>
        <v>0.72270000000000001</v>
      </c>
      <c r="R35" s="27">
        <f>IF(R$10=0,0,R23/R$10)</f>
        <v>0.72270000000000001</v>
      </c>
      <c r="S35" s="27">
        <f>IF(S$10=0,0,S23/S$10)</f>
        <v>0.72270000000000001</v>
      </c>
      <c r="T35" s="27">
        <f>IF(T$10=0,0,T23/T$10)</f>
        <v>0.72270000000000001</v>
      </c>
      <c r="U35" s="27">
        <f>IF(U$10=0,0,U23/U$10)</f>
        <v>0.72270000000000001</v>
      </c>
      <c r="V35" s="27">
        <f>IF(V$10=0,0,V23/V$10)</f>
        <v>0.72270000000000001</v>
      </c>
      <c r="W35" s="27">
        <f>IF(W$10=0,0,W23/W$10)</f>
        <v>0.72270000000000001</v>
      </c>
    </row>
    <row r="36" spans="2:23">
      <c r="C36" s="22" t="str">
        <f>Inputs!$C$32</f>
        <v>FI-WN1</v>
      </c>
      <c r="D36" s="22" t="str">
        <f>Inputs!$D$32</f>
        <v>Finland</v>
      </c>
      <c r="E36" s="22" t="str">
        <f>Inputs!$E$32</f>
        <v>Onshore wind</v>
      </c>
      <c r="F36" s="82" t="s">
        <v>34</v>
      </c>
      <c r="G36" s="28">
        <f>IF($G$10=0,0,G24/$G$10)</f>
        <v>0.63875000000000004</v>
      </c>
      <c r="H36" s="25"/>
      <c r="I36" s="29">
        <f>IF(I$10=0,0,I24/I$10)</f>
        <v>0.63875000000000004</v>
      </c>
      <c r="J36" s="29">
        <f>IF(J$10=0,0,J24/J$10)</f>
        <v>0.63875000000000004</v>
      </c>
      <c r="K36" s="29">
        <f>IF(K$10=0,0,K24/K$10)</f>
        <v>0.63875000000000004</v>
      </c>
      <c r="L36" s="29">
        <f>IF(L$10=0,0,L24/L$10)</f>
        <v>0.63875000000000004</v>
      </c>
      <c r="M36" s="29">
        <f>IF(M$10=0,0,M24/M$10)</f>
        <v>0.63875000000000004</v>
      </c>
      <c r="N36" s="29">
        <f>IF(N$10=0,0,N24/N$10)</f>
        <v>0.63875000000000004</v>
      </c>
      <c r="O36" s="29">
        <f>IF(O$10=0,0,O24/O$10)</f>
        <v>0.63875000000000004</v>
      </c>
      <c r="P36" s="29">
        <f>IF(P$10=0,0,P24/P$10)</f>
        <v>0.63875000000000004</v>
      </c>
      <c r="Q36" s="29">
        <f>IF(Q$10=0,0,Q24/Q$10)</f>
        <v>0.63875000000000004</v>
      </c>
      <c r="R36" s="29">
        <f>IF(R$10=0,0,R24/R$10)</f>
        <v>0.63875000000000004</v>
      </c>
      <c r="S36" s="29">
        <f>IF(S$10=0,0,S24/S$10)</f>
        <v>0.63875000000000004</v>
      </c>
      <c r="T36" s="29">
        <f>IF(T$10=0,0,T24/T$10)</f>
        <v>0.63875000000000004</v>
      </c>
      <c r="U36" s="29">
        <f>IF(U$10=0,0,U24/U$10)</f>
        <v>0.63875000000000004</v>
      </c>
      <c r="V36" s="29">
        <f>IF(V$10=0,0,V24/V$10)</f>
        <v>0.63875000000000004</v>
      </c>
      <c r="W36" s="29">
        <f>IF(W$10=0,0,W24/W$10)</f>
        <v>0.63875000000000004</v>
      </c>
    </row>
    <row r="38" spans="2:23">
      <c r="B38" s="70">
        <f>+B26+1</f>
        <v>4</v>
      </c>
      <c r="C38" s="70" t="s">
        <v>109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</row>
    <row r="39" spans="2:23">
      <c r="C39" s="21" t="str">
        <f>Inputs!$C$23</f>
        <v>ES-PV1</v>
      </c>
      <c r="D39" s="21" t="str">
        <f>Inputs!$D$23</f>
        <v>Spain</v>
      </c>
      <c r="E39" s="21" t="str">
        <f>Inputs!$E$23</f>
        <v>Solar PV</v>
      </c>
      <c r="F39" s="6" t="s">
        <v>14</v>
      </c>
      <c r="G39" s="18">
        <f>IF(G15=0,0,G75*1000/G15)</f>
        <v>51.173411329981917</v>
      </c>
      <c r="I39" s="85">
        <f>(Inputs!$I$23*Inputs!$K$23+Inputs!$J$23*Inputs!$L$23)*ScenMult*(1+Inputs!$M$23)^(I$4-1)*I$6</f>
        <v>54.8</v>
      </c>
      <c r="J39" s="85">
        <f>(Inputs!$I$23*Inputs!$K$23+Inputs!$J$23*Inputs!$L$23)*ScenMult*(1+Inputs!$M$23)^(J$4-1)*J$6</f>
        <v>54.251999999999995</v>
      </c>
      <c r="K39" s="85">
        <f>(Inputs!$I$23*Inputs!$K$23+Inputs!$J$23*Inputs!$L$23)*ScenMult*(1+Inputs!$M$23)^(K$4-1)*K$6</f>
        <v>53.709479999999992</v>
      </c>
      <c r="L39" s="85">
        <f>(Inputs!$I$23*Inputs!$K$23+Inputs!$J$23*Inputs!$L$23)*ScenMult*(1+Inputs!$M$23)^(L$4-1)*L$6</f>
        <v>53.172385199999994</v>
      </c>
      <c r="M39" s="85">
        <f>(Inputs!$I$23*Inputs!$K$23+Inputs!$J$23*Inputs!$L$23)*ScenMult*(1+Inputs!$M$23)^(M$4-1)*M$6</f>
        <v>52.640661347999995</v>
      </c>
      <c r="N39" s="85">
        <f>(Inputs!$I$23*Inputs!$K$23+Inputs!$J$23*Inputs!$L$23)*ScenMult*(1+Inputs!$M$23)^(N$4-1)*N$6</f>
        <v>52.114254734519996</v>
      </c>
      <c r="O39" s="85">
        <f>(Inputs!$I$23*Inputs!$K$23+Inputs!$J$23*Inputs!$L$23)*ScenMult*(1+Inputs!$M$23)^(O$4-1)*O$6</f>
        <v>51.593112187174789</v>
      </c>
      <c r="P39" s="85">
        <f>(Inputs!$I$23*Inputs!$K$23+Inputs!$J$23*Inputs!$L$23)*ScenMult*(1+Inputs!$M$23)^(P$4-1)*P$6</f>
        <v>51.077181065303044</v>
      </c>
      <c r="Q39" s="85">
        <f>(Inputs!$I$23*Inputs!$K$23+Inputs!$J$23*Inputs!$L$23)*ScenMult*(1+Inputs!$M$23)^(Q$4-1)*Q$6</f>
        <v>50.566409254650011</v>
      </c>
      <c r="R39" s="85">
        <f>(Inputs!$I$23*Inputs!$K$23+Inputs!$J$23*Inputs!$L$23)*ScenMult*(1+Inputs!$M$23)^(R$4-1)*R$6</f>
        <v>50.060745162103508</v>
      </c>
      <c r="S39" s="85">
        <f>(Inputs!$I$23*Inputs!$K$23+Inputs!$J$23*Inputs!$L$23)*ScenMult*(1+Inputs!$M$23)^(S$4-1)*S$6</f>
        <v>49.560137710482472</v>
      </c>
      <c r="T39" s="85">
        <f>(Inputs!$I$23*Inputs!$K$23+Inputs!$J$23*Inputs!$L$23)*ScenMult*(1+Inputs!$M$23)^(T$4-1)*T$6</f>
        <v>49.064536333377646</v>
      </c>
      <c r="U39" s="85">
        <f>(Inputs!$I$23*Inputs!$K$23+Inputs!$J$23*Inputs!$L$23)*ScenMult*(1+Inputs!$M$23)^(U$4-1)*U$6</f>
        <v>48.57389097004387</v>
      </c>
      <c r="V39" s="85">
        <f>(Inputs!$I$23*Inputs!$K$23+Inputs!$J$23*Inputs!$L$23)*ScenMult*(1+Inputs!$M$23)^(V$4-1)*V$6</f>
        <v>48.088152060343425</v>
      </c>
      <c r="W39" s="85">
        <f>(Inputs!$I$23*Inputs!$K$23+Inputs!$J$23*Inputs!$L$23)*ScenMult*(1+Inputs!$M$23)^(W$4-1)*W$6</f>
        <v>47.60727053974</v>
      </c>
    </row>
    <row r="40" spans="2:23">
      <c r="C40" s="22" t="str">
        <f>Inputs!$C$24</f>
        <v>PT-PV1</v>
      </c>
      <c r="D40" s="22" t="str">
        <f>Inputs!$D$24</f>
        <v>Portugal</v>
      </c>
      <c r="E40" s="22" t="str">
        <f>Inputs!$E$24</f>
        <v>Solar PV</v>
      </c>
      <c r="F40" s="23" t="s">
        <v>14</v>
      </c>
      <c r="G40" s="30">
        <f>IF(G16=0,0,G76*1000/G16)</f>
        <v>50.426354230274164</v>
      </c>
      <c r="H40" s="25"/>
      <c r="I40" s="88">
        <f>(Inputs!$I$24*Inputs!$K$24+Inputs!$J$24*Inputs!$L$24)*ScenMult*(1+Inputs!$M$24)^(I$4-1)*I$6</f>
        <v>54</v>
      </c>
      <c r="J40" s="88">
        <f>(Inputs!$I$24*Inputs!$K$24+Inputs!$J$24*Inputs!$L$24)*ScenMult*(1+Inputs!$M$24)^(J$4-1)*J$6</f>
        <v>53.46</v>
      </c>
      <c r="K40" s="88">
        <f>(Inputs!$I$24*Inputs!$K$24+Inputs!$J$24*Inputs!$L$24)*ScenMult*(1+Inputs!$M$24)^(K$4-1)*K$6</f>
        <v>52.925399999999996</v>
      </c>
      <c r="L40" s="88">
        <f>(Inputs!$I$24*Inputs!$K$24+Inputs!$J$24*Inputs!$L$24)*ScenMult*(1+Inputs!$M$24)^(L$4-1)*L$6</f>
        <v>52.396145999999995</v>
      </c>
      <c r="M40" s="88">
        <f>(Inputs!$I$24*Inputs!$K$24+Inputs!$J$24*Inputs!$L$24)*ScenMult*(1+Inputs!$M$24)^(M$4-1)*M$6</f>
        <v>51.872184539999999</v>
      </c>
      <c r="N40" s="88">
        <f>(Inputs!$I$24*Inputs!$K$24+Inputs!$J$24*Inputs!$L$24)*ScenMult*(1+Inputs!$M$24)^(N$4-1)*N$6</f>
        <v>51.353462694599997</v>
      </c>
      <c r="O40" s="88">
        <f>(Inputs!$I$24*Inputs!$K$24+Inputs!$J$24*Inputs!$L$24)*ScenMult*(1+Inputs!$M$24)^(O$4-1)*O$6</f>
        <v>50.839928067653993</v>
      </c>
      <c r="P40" s="88">
        <f>(Inputs!$I$24*Inputs!$K$24+Inputs!$J$24*Inputs!$L$24)*ScenMult*(1+Inputs!$M$24)^(P$4-1)*P$6</f>
        <v>50.331528786977458</v>
      </c>
      <c r="Q40" s="88">
        <f>(Inputs!$I$24*Inputs!$K$24+Inputs!$J$24*Inputs!$L$24)*ScenMult*(1+Inputs!$M$24)^(Q$4-1)*Q$6</f>
        <v>49.828213499107676</v>
      </c>
      <c r="R40" s="88">
        <f>(Inputs!$I$24*Inputs!$K$24+Inputs!$J$24*Inputs!$L$24)*ScenMult*(1+Inputs!$M$24)^(R$4-1)*R$6</f>
        <v>49.329931364116597</v>
      </c>
      <c r="S40" s="88">
        <f>(Inputs!$I$24*Inputs!$K$24+Inputs!$J$24*Inputs!$L$24)*ScenMult*(1+Inputs!$M$24)^(S$4-1)*S$6</f>
        <v>48.83663205047543</v>
      </c>
      <c r="T40" s="88">
        <f>(Inputs!$I$24*Inputs!$K$24+Inputs!$J$24*Inputs!$L$24)*ScenMult*(1+Inputs!$M$24)^(T$4-1)*T$6</f>
        <v>48.348265729970677</v>
      </c>
      <c r="U40" s="88">
        <f>(Inputs!$I$24*Inputs!$K$24+Inputs!$J$24*Inputs!$L$24)*ScenMult*(1+Inputs!$M$24)^(U$4-1)*U$6</f>
        <v>47.864783072670974</v>
      </c>
      <c r="V40" s="88">
        <f>(Inputs!$I$24*Inputs!$K$24+Inputs!$J$24*Inputs!$L$24)*ScenMult*(1+Inputs!$M$24)^(V$4-1)*V$6</f>
        <v>47.38613524194426</v>
      </c>
      <c r="W40" s="88">
        <f>(Inputs!$I$24*Inputs!$K$24+Inputs!$J$24*Inputs!$L$24)*ScenMult*(1+Inputs!$M$24)^(W$4-1)*W$6</f>
        <v>46.912273889524819</v>
      </c>
    </row>
    <row r="41" spans="2:23">
      <c r="C41" s="21" t="str">
        <f>Inputs!$C$25</f>
        <v>IT-PV1</v>
      </c>
      <c r="D41" s="21" t="str">
        <f>Inputs!$D$25</f>
        <v>Italy (Sud)</v>
      </c>
      <c r="E41" s="21" t="str">
        <f>Inputs!$E$25</f>
        <v>Solar PV</v>
      </c>
      <c r="F41" s="6" t="s">
        <v>14</v>
      </c>
      <c r="G41" s="18">
        <f>IF(G17=0,0,G77*1000/G17)</f>
        <v>89.087127465878496</v>
      </c>
      <c r="I41" s="85">
        <f>(Inputs!$I$25*Inputs!$K$25+Inputs!$J$25*Inputs!$L$25)*ScenMult*(1+Inputs!$M$25)^(I$4-1)*I$6</f>
        <v>109</v>
      </c>
      <c r="J41" s="85">
        <f>(Inputs!$I$25*Inputs!$K$25+Inputs!$J$25*Inputs!$L$25)*ScenMult*(1+Inputs!$M$25)^(J$4-1)*J$6</f>
        <v>105.73</v>
      </c>
      <c r="K41" s="85">
        <f>(Inputs!$I$25*Inputs!$K$25+Inputs!$J$25*Inputs!$L$25)*ScenMult*(1+Inputs!$M$25)^(K$4-1)*K$6</f>
        <v>102.5581</v>
      </c>
      <c r="L41" s="85">
        <f>(Inputs!$I$25*Inputs!$K$25+Inputs!$J$25*Inputs!$L$25)*ScenMult*(1+Inputs!$M$25)^(L$4-1)*L$6</f>
        <v>99.481356999999988</v>
      </c>
      <c r="M41" s="85">
        <f>(Inputs!$I$25*Inputs!$K$25+Inputs!$J$25*Inputs!$L$25)*ScenMult*(1+Inputs!$M$25)^(M$4-1)*M$6</f>
        <v>96.496916289999987</v>
      </c>
      <c r="N41" s="85">
        <f>(Inputs!$I$25*Inputs!$K$25+Inputs!$J$25*Inputs!$L$25)*ScenMult*(1+Inputs!$M$25)^(N$4-1)*N$6</f>
        <v>93.602008801299988</v>
      </c>
      <c r="O41" s="85">
        <f>(Inputs!$I$25*Inputs!$K$25+Inputs!$J$25*Inputs!$L$25)*ScenMult*(1+Inputs!$M$25)^(O$4-1)*O$6</f>
        <v>90.793948537260988</v>
      </c>
      <c r="P41" s="85">
        <f>(Inputs!$I$25*Inputs!$K$25+Inputs!$J$25*Inputs!$L$25)*ScenMult*(1+Inputs!$M$25)^(P$4-1)*P$6</f>
        <v>88.070130081143162</v>
      </c>
      <c r="Q41" s="85">
        <f>(Inputs!$I$25*Inputs!$K$25+Inputs!$J$25*Inputs!$L$25)*ScenMult*(1+Inputs!$M$25)^(Q$4-1)*Q$6</f>
        <v>85.428026178708862</v>
      </c>
      <c r="R41" s="85">
        <f>(Inputs!$I$25*Inputs!$K$25+Inputs!$J$25*Inputs!$L$25)*ScenMult*(1+Inputs!$M$25)^(R$4-1)*R$6</f>
        <v>82.865185393347588</v>
      </c>
      <c r="S41" s="85">
        <f>(Inputs!$I$25*Inputs!$K$25+Inputs!$J$25*Inputs!$L$25)*ScenMult*(1+Inputs!$M$25)^(S$4-1)*S$6</f>
        <v>80.379229831547178</v>
      </c>
      <c r="T41" s="85">
        <f>(Inputs!$I$25*Inputs!$K$25+Inputs!$J$25*Inputs!$L$25)*ScenMult*(1+Inputs!$M$25)^(T$4-1)*T$6</f>
        <v>77.96785293660075</v>
      </c>
      <c r="U41" s="85">
        <f>(Inputs!$I$25*Inputs!$K$25+Inputs!$J$25*Inputs!$L$25)*ScenMult*(1+Inputs!$M$25)^(U$4-1)*U$6</f>
        <v>75.628817348502722</v>
      </c>
      <c r="V41" s="85">
        <f>(Inputs!$I$25*Inputs!$K$25+Inputs!$J$25*Inputs!$L$25)*ScenMult*(1+Inputs!$M$25)^(V$4-1)*V$6</f>
        <v>73.359952828047639</v>
      </c>
      <c r="W41" s="85">
        <f>(Inputs!$I$25*Inputs!$K$25+Inputs!$J$25*Inputs!$L$25)*ScenMult*(1+Inputs!$M$25)^(W$4-1)*W$6</f>
        <v>71.159154243206217</v>
      </c>
    </row>
    <row r="42" spans="2:23">
      <c r="C42" s="22" t="str">
        <f>Inputs!$C$26</f>
        <v>GR-PV1</v>
      </c>
      <c r="D42" s="22" t="str">
        <f>Inputs!$D$26</f>
        <v>Greece</v>
      </c>
      <c r="E42" s="22" t="str">
        <f>Inputs!$E$26</f>
        <v>Solar PV</v>
      </c>
      <c r="F42" s="23" t="s">
        <v>14</v>
      </c>
      <c r="G42" s="30">
        <f>IF(G18=0,0,G78*1000/G18)</f>
        <v>80.847351051632415</v>
      </c>
      <c r="H42" s="25"/>
      <c r="I42" s="88">
        <f>(Inputs!$I$26*Inputs!$K$26+Inputs!$J$26*Inputs!$L$26)*ScenMult*(1+Inputs!$M$26)^(I$4-1)*I$6</f>
        <v>92.6</v>
      </c>
      <c r="J42" s="88">
        <f>(Inputs!$I$26*Inputs!$K$26+Inputs!$J$26*Inputs!$L$26)*ScenMult*(1+Inputs!$M$26)^(J$4-1)*J$6</f>
        <v>90.74799999999999</v>
      </c>
      <c r="K42" s="88">
        <f>(Inputs!$I$26*Inputs!$K$26+Inputs!$J$26*Inputs!$L$26)*ScenMult*(1+Inputs!$M$26)^(K$4-1)*K$6</f>
        <v>88.933039999999991</v>
      </c>
      <c r="L42" s="88">
        <f>(Inputs!$I$26*Inputs!$K$26+Inputs!$J$26*Inputs!$L$26)*ScenMult*(1+Inputs!$M$26)^(L$4-1)*L$6</f>
        <v>87.154379199999994</v>
      </c>
      <c r="M42" s="88">
        <f>(Inputs!$I$26*Inputs!$K$26+Inputs!$J$26*Inputs!$L$26)*ScenMult*(1+Inputs!$M$26)^(M$4-1)*M$6</f>
        <v>85.411291615999986</v>
      </c>
      <c r="N42" s="88">
        <f>(Inputs!$I$26*Inputs!$K$26+Inputs!$J$26*Inputs!$L$26)*ScenMult*(1+Inputs!$M$26)^(N$4-1)*N$6</f>
        <v>83.703065783679975</v>
      </c>
      <c r="O42" s="88">
        <f>(Inputs!$I$26*Inputs!$K$26+Inputs!$J$26*Inputs!$L$26)*ScenMult*(1+Inputs!$M$26)^(O$4-1)*O$6</f>
        <v>82.029004468006377</v>
      </c>
      <c r="P42" s="88">
        <f>(Inputs!$I$26*Inputs!$K$26+Inputs!$J$26*Inputs!$L$26)*ScenMult*(1+Inputs!$M$26)^(P$4-1)*P$6</f>
        <v>80.388424378646249</v>
      </c>
      <c r="Q42" s="88">
        <f>(Inputs!$I$26*Inputs!$K$26+Inputs!$J$26*Inputs!$L$26)*ScenMult*(1+Inputs!$M$26)^(Q$4-1)*Q$6</f>
        <v>78.780655891073323</v>
      </c>
      <c r="R42" s="88">
        <f>(Inputs!$I$26*Inputs!$K$26+Inputs!$J$26*Inputs!$L$26)*ScenMult*(1+Inputs!$M$26)^(R$4-1)*R$6</f>
        <v>77.205042773251861</v>
      </c>
      <c r="S42" s="88">
        <f>(Inputs!$I$26*Inputs!$K$26+Inputs!$J$26*Inputs!$L$26)*ScenMult*(1+Inputs!$M$26)^(S$4-1)*S$6</f>
        <v>75.660941917786815</v>
      </c>
      <c r="T42" s="88">
        <f>(Inputs!$I$26*Inputs!$K$26+Inputs!$J$26*Inputs!$L$26)*ScenMult*(1+Inputs!$M$26)^(T$4-1)*T$6</f>
        <v>74.147723079431074</v>
      </c>
      <c r="U42" s="88">
        <f>(Inputs!$I$26*Inputs!$K$26+Inputs!$J$26*Inputs!$L$26)*ScenMult*(1+Inputs!$M$26)^(U$4-1)*U$6</f>
        <v>72.664768617842455</v>
      </c>
      <c r="V42" s="88">
        <f>(Inputs!$I$26*Inputs!$K$26+Inputs!$J$26*Inputs!$L$26)*ScenMult*(1+Inputs!$M$26)^(V$4-1)*V$6</f>
        <v>71.211473245485593</v>
      </c>
      <c r="W42" s="88">
        <f>(Inputs!$I$26*Inputs!$K$26+Inputs!$J$26*Inputs!$L$26)*ScenMult*(1+Inputs!$M$26)^(W$4-1)*W$6</f>
        <v>69.787243780575878</v>
      </c>
    </row>
    <row r="43" spans="2:23">
      <c r="C43" s="21" t="str">
        <f>Inputs!$C$27</f>
        <v>FR-WN1</v>
      </c>
      <c r="D43" s="21" t="str">
        <f>Inputs!$D$27</f>
        <v>France</v>
      </c>
      <c r="E43" s="21" t="str">
        <f>Inputs!$E$27</f>
        <v>Onshore wind</v>
      </c>
      <c r="F43" s="6" t="s">
        <v>14</v>
      </c>
      <c r="G43" s="18">
        <f>IF(G19=0,0,G79*1000/G19)</f>
        <v>67.606961255399398</v>
      </c>
      <c r="I43" s="85">
        <f>(Inputs!$I$27*Inputs!$K$27+Inputs!$J$27*Inputs!$L$27)*ScenMult*(1+Inputs!$M$27)^(I$4-1)*I$6</f>
        <v>63</v>
      </c>
      <c r="J43" s="85">
        <f>(Inputs!$I$27*Inputs!$K$27+Inputs!$J$27*Inputs!$L$27)*ScenMult*(1+Inputs!$M$27)^(J$4-1)*J$6</f>
        <v>63.63</v>
      </c>
      <c r="K43" s="85">
        <f>(Inputs!$I$27*Inputs!$K$27+Inputs!$J$27*Inputs!$L$27)*ScenMult*(1+Inputs!$M$27)^(K$4-1)*K$6</f>
        <v>64.266300000000001</v>
      </c>
      <c r="L43" s="85">
        <f>(Inputs!$I$27*Inputs!$K$27+Inputs!$J$27*Inputs!$L$27)*ScenMult*(1+Inputs!$M$27)^(L$4-1)*L$6</f>
        <v>64.908963</v>
      </c>
      <c r="M43" s="85">
        <f>(Inputs!$I$27*Inputs!$K$27+Inputs!$J$27*Inputs!$L$27)*ScenMult*(1+Inputs!$M$27)^(M$4-1)*M$6</f>
        <v>65.558052630000006</v>
      </c>
      <c r="N43" s="85">
        <f>(Inputs!$I$27*Inputs!$K$27+Inputs!$J$27*Inputs!$L$27)*ScenMult*(1+Inputs!$M$27)^(N$4-1)*N$6</f>
        <v>66.213633156299991</v>
      </c>
      <c r="O43" s="85">
        <f>(Inputs!$I$27*Inputs!$K$27+Inputs!$J$27*Inputs!$L$27)*ScenMult*(1+Inputs!$M$27)^(O$4-1)*O$6</f>
        <v>66.87576948786301</v>
      </c>
      <c r="P43" s="85">
        <f>(Inputs!$I$27*Inputs!$K$27+Inputs!$J$27*Inputs!$L$27)*ScenMult*(1+Inputs!$M$27)^(P$4-1)*P$6</f>
        <v>67.544527182741618</v>
      </c>
      <c r="Q43" s="85">
        <f>(Inputs!$I$27*Inputs!$K$27+Inputs!$J$27*Inputs!$L$27)*ScenMult*(1+Inputs!$M$27)^(Q$4-1)*Q$6</f>
        <v>68.21997245456906</v>
      </c>
      <c r="R43" s="85">
        <f>(Inputs!$I$27*Inputs!$K$27+Inputs!$J$27*Inputs!$L$27)*ScenMult*(1+Inputs!$M$27)^(R$4-1)*R$6</f>
        <v>68.902172179114757</v>
      </c>
      <c r="S43" s="85">
        <f>(Inputs!$I$27*Inputs!$K$27+Inputs!$J$27*Inputs!$L$27)*ScenMult*(1+Inputs!$M$27)^(S$4-1)*S$6</f>
        <v>69.591193900905893</v>
      </c>
      <c r="T43" s="85">
        <f>(Inputs!$I$27*Inputs!$K$27+Inputs!$J$27*Inputs!$L$27)*ScenMult*(1+Inputs!$M$27)^(T$4-1)*T$6</f>
        <v>70.287105839914943</v>
      </c>
      <c r="U43" s="85">
        <f>(Inputs!$I$27*Inputs!$K$27+Inputs!$J$27*Inputs!$L$27)*ScenMult*(1+Inputs!$M$27)^(U$4-1)*U$6</f>
        <v>70.989976898314097</v>
      </c>
      <c r="V43" s="85">
        <f>(Inputs!$I$27*Inputs!$K$27+Inputs!$J$27*Inputs!$L$27)*ScenMult*(1+Inputs!$M$27)^(V$4-1)*V$6</f>
        <v>71.699876667297232</v>
      </c>
      <c r="W43" s="85">
        <f>(Inputs!$I$27*Inputs!$K$27+Inputs!$J$27*Inputs!$L$27)*ScenMult*(1+Inputs!$M$27)^(W$4-1)*W$6</f>
        <v>72.416875433970219</v>
      </c>
    </row>
    <row r="44" spans="2:23">
      <c r="C44" s="22" t="str">
        <f>Inputs!$C$28</f>
        <v>DE-WN1</v>
      </c>
      <c r="D44" s="22" t="str">
        <f>Inputs!$D$28</f>
        <v>Germany</v>
      </c>
      <c r="E44" s="22" t="str">
        <f>Inputs!$E$28</f>
        <v>Onshore wind</v>
      </c>
      <c r="F44" s="23" t="s">
        <v>14</v>
      </c>
      <c r="G44" s="30">
        <f>IF(G20=0,0,G80*1000/G20)</f>
        <v>78.225513676205878</v>
      </c>
      <c r="H44" s="25"/>
      <c r="I44" s="88">
        <f>(Inputs!$I$28*Inputs!$K$28+Inputs!$J$28*Inputs!$L$28)*ScenMult*(1+Inputs!$M$28)^(I$4-1)*I$6</f>
        <v>81</v>
      </c>
      <c r="J44" s="88">
        <f>(Inputs!$I$28*Inputs!$K$28+Inputs!$J$28*Inputs!$L$28)*ScenMult*(1+Inputs!$M$28)^(J$4-1)*J$6</f>
        <v>80.594999999999999</v>
      </c>
      <c r="K44" s="88">
        <f>(Inputs!$I$28*Inputs!$K$28+Inputs!$J$28*Inputs!$L$28)*ScenMult*(1+Inputs!$M$28)^(K$4-1)*K$6</f>
        <v>80.192025000000001</v>
      </c>
      <c r="L44" s="88">
        <f>(Inputs!$I$28*Inputs!$K$28+Inputs!$J$28*Inputs!$L$28)*ScenMult*(1+Inputs!$M$28)^(L$4-1)*L$6</f>
        <v>79.791064875000004</v>
      </c>
      <c r="M44" s="88">
        <f>(Inputs!$I$28*Inputs!$K$28+Inputs!$J$28*Inputs!$L$28)*ScenMult*(1+Inputs!$M$28)^(M$4-1)*M$6</f>
        <v>79.392109550625008</v>
      </c>
      <c r="N44" s="88">
        <f>(Inputs!$I$28*Inputs!$K$28+Inputs!$J$28*Inputs!$L$28)*ScenMult*(1+Inputs!$M$28)^(N$4-1)*N$6</f>
        <v>78.995149002871884</v>
      </c>
      <c r="O44" s="88">
        <f>(Inputs!$I$28*Inputs!$K$28+Inputs!$J$28*Inputs!$L$28)*ScenMult*(1+Inputs!$M$28)^(O$4-1)*O$6</f>
        <v>78.60017325785752</v>
      </c>
      <c r="P44" s="88">
        <f>(Inputs!$I$28*Inputs!$K$28+Inputs!$J$28*Inputs!$L$28)*ScenMult*(1+Inputs!$M$28)^(P$4-1)*P$6</f>
        <v>78.207172391568236</v>
      </c>
      <c r="Q44" s="88">
        <f>(Inputs!$I$28*Inputs!$K$28+Inputs!$J$28*Inputs!$L$28)*ScenMult*(1+Inputs!$M$28)^(Q$4-1)*Q$6</f>
        <v>77.81613652961039</v>
      </c>
      <c r="R44" s="88">
        <f>(Inputs!$I$28*Inputs!$K$28+Inputs!$J$28*Inputs!$L$28)*ScenMult*(1+Inputs!$M$28)^(R$4-1)*R$6</f>
        <v>77.427055846962332</v>
      </c>
      <c r="S44" s="88">
        <f>(Inputs!$I$28*Inputs!$K$28+Inputs!$J$28*Inputs!$L$28)*ScenMult*(1+Inputs!$M$28)^(S$4-1)*S$6</f>
        <v>77.039920567727535</v>
      </c>
      <c r="T44" s="88">
        <f>(Inputs!$I$28*Inputs!$K$28+Inputs!$J$28*Inputs!$L$28)*ScenMult*(1+Inputs!$M$28)^(T$4-1)*T$6</f>
        <v>76.654720964888895</v>
      </c>
      <c r="U44" s="88">
        <f>(Inputs!$I$28*Inputs!$K$28+Inputs!$J$28*Inputs!$L$28)*ScenMult*(1+Inputs!$M$28)^(U$4-1)*U$6</f>
        <v>76.271447360064457</v>
      </c>
      <c r="V44" s="88">
        <f>(Inputs!$I$28*Inputs!$K$28+Inputs!$J$28*Inputs!$L$28)*ScenMult*(1+Inputs!$M$28)^(V$4-1)*V$6</f>
        <v>75.89009012326413</v>
      </c>
      <c r="W44" s="88">
        <f>(Inputs!$I$28*Inputs!$K$28+Inputs!$J$28*Inputs!$L$28)*ScenMult*(1+Inputs!$M$28)^(W$4-1)*W$6</f>
        <v>75.510639672647812</v>
      </c>
    </row>
    <row r="45" spans="2:23">
      <c r="C45" s="21" t="str">
        <f>Inputs!$C$29</f>
        <v>NL-OW1</v>
      </c>
      <c r="D45" s="21" t="str">
        <f>Inputs!$D$29</f>
        <v>Netherlands</v>
      </c>
      <c r="E45" s="21" t="str">
        <f>Inputs!$E$29</f>
        <v>Offshore wind</v>
      </c>
      <c r="F45" s="6" t="s">
        <v>14</v>
      </c>
      <c r="G45" s="18">
        <f>IF(G21=0,0,G81*1000/G21)</f>
        <v>79.999999999999986</v>
      </c>
      <c r="I45" s="85">
        <f>(Inputs!$I$29*Inputs!$K$29+Inputs!$J$29*Inputs!$L$29)*ScenMult*(1+Inputs!$M$29)^(I$4-1)*I$6</f>
        <v>80</v>
      </c>
      <c r="J45" s="85">
        <f>(Inputs!$I$29*Inputs!$K$29+Inputs!$J$29*Inputs!$L$29)*ScenMult*(1+Inputs!$M$29)^(J$4-1)*J$6</f>
        <v>80</v>
      </c>
      <c r="K45" s="85">
        <f>(Inputs!$I$29*Inputs!$K$29+Inputs!$J$29*Inputs!$L$29)*ScenMult*(1+Inputs!$M$29)^(K$4-1)*K$6</f>
        <v>80</v>
      </c>
      <c r="L45" s="85">
        <f>(Inputs!$I$29*Inputs!$K$29+Inputs!$J$29*Inputs!$L$29)*ScenMult*(1+Inputs!$M$29)^(L$4-1)*L$6</f>
        <v>80</v>
      </c>
      <c r="M45" s="85">
        <f>(Inputs!$I$29*Inputs!$K$29+Inputs!$J$29*Inputs!$L$29)*ScenMult*(1+Inputs!$M$29)^(M$4-1)*M$6</f>
        <v>80</v>
      </c>
      <c r="N45" s="85">
        <f>(Inputs!$I$29*Inputs!$K$29+Inputs!$J$29*Inputs!$L$29)*ScenMult*(1+Inputs!$M$29)^(N$4-1)*N$6</f>
        <v>80</v>
      </c>
      <c r="O45" s="85">
        <f>(Inputs!$I$29*Inputs!$K$29+Inputs!$J$29*Inputs!$L$29)*ScenMult*(1+Inputs!$M$29)^(O$4-1)*O$6</f>
        <v>80</v>
      </c>
      <c r="P45" s="85">
        <f>(Inputs!$I$29*Inputs!$K$29+Inputs!$J$29*Inputs!$L$29)*ScenMult*(1+Inputs!$M$29)^(P$4-1)*P$6</f>
        <v>80</v>
      </c>
      <c r="Q45" s="85">
        <f>(Inputs!$I$29*Inputs!$K$29+Inputs!$J$29*Inputs!$L$29)*ScenMult*(1+Inputs!$M$29)^(Q$4-1)*Q$6</f>
        <v>80</v>
      </c>
      <c r="R45" s="85">
        <f>(Inputs!$I$29*Inputs!$K$29+Inputs!$J$29*Inputs!$L$29)*ScenMult*(1+Inputs!$M$29)^(R$4-1)*R$6</f>
        <v>80</v>
      </c>
      <c r="S45" s="85">
        <f>(Inputs!$I$29*Inputs!$K$29+Inputs!$J$29*Inputs!$L$29)*ScenMult*(1+Inputs!$M$29)^(S$4-1)*S$6</f>
        <v>80</v>
      </c>
      <c r="T45" s="85">
        <f>(Inputs!$I$29*Inputs!$K$29+Inputs!$J$29*Inputs!$L$29)*ScenMult*(1+Inputs!$M$29)^(T$4-1)*T$6</f>
        <v>80</v>
      </c>
      <c r="U45" s="85">
        <f>(Inputs!$I$29*Inputs!$K$29+Inputs!$J$29*Inputs!$L$29)*ScenMult*(1+Inputs!$M$29)^(U$4-1)*U$6</f>
        <v>80</v>
      </c>
      <c r="V45" s="85">
        <f>(Inputs!$I$29*Inputs!$K$29+Inputs!$J$29*Inputs!$L$29)*ScenMult*(1+Inputs!$M$29)^(V$4-1)*V$6</f>
        <v>80</v>
      </c>
      <c r="W45" s="85">
        <f>(Inputs!$I$29*Inputs!$K$29+Inputs!$J$29*Inputs!$L$29)*ScenMult*(1+Inputs!$M$29)^(W$4-1)*W$6</f>
        <v>80</v>
      </c>
    </row>
    <row r="46" spans="2:23">
      <c r="C46" s="22" t="str">
        <f>Inputs!$C$30</f>
        <v>PL-WN1</v>
      </c>
      <c r="D46" s="22" t="str">
        <f>Inputs!$D$30</f>
        <v>Poland</v>
      </c>
      <c r="E46" s="22" t="str">
        <f>Inputs!$E$30</f>
        <v>Onshore wind</v>
      </c>
      <c r="F46" s="23" t="s">
        <v>14</v>
      </c>
      <c r="G46" s="30">
        <f>IF(G22=0,0,G82*1000/G22)</f>
        <v>92.406595560002714</v>
      </c>
      <c r="H46" s="25"/>
      <c r="I46" s="88">
        <f>(Inputs!$I$30*Inputs!$K$30+Inputs!$J$30*Inputs!$L$30)*ScenMult*(1+Inputs!$M$30)^(I$4-1)*I$6</f>
        <v>102.5</v>
      </c>
      <c r="J46" s="88">
        <f>(Inputs!$I$30*Inputs!$K$30+Inputs!$J$30*Inputs!$L$30)*ScenMult*(1+Inputs!$M$30)^(J$4-1)*J$6</f>
        <v>100.96250000000001</v>
      </c>
      <c r="K46" s="88">
        <f>(Inputs!$I$30*Inputs!$K$30+Inputs!$J$30*Inputs!$L$30)*ScenMult*(1+Inputs!$M$30)^(K$4-1)*K$6</f>
        <v>99.448062500000006</v>
      </c>
      <c r="L46" s="88">
        <f>(Inputs!$I$30*Inputs!$K$30+Inputs!$J$30*Inputs!$L$30)*ScenMult*(1+Inputs!$M$30)^(L$4-1)*L$6</f>
        <v>97.9563415625</v>
      </c>
      <c r="M46" s="88">
        <f>(Inputs!$I$30*Inputs!$K$30+Inputs!$J$30*Inputs!$L$30)*ScenMult*(1+Inputs!$M$30)^(M$4-1)*M$6</f>
        <v>96.486996439062494</v>
      </c>
      <c r="N46" s="88">
        <f>(Inputs!$I$30*Inputs!$K$30+Inputs!$J$30*Inputs!$L$30)*ScenMult*(1+Inputs!$M$30)^(N$4-1)*N$6</f>
        <v>95.039691492476564</v>
      </c>
      <c r="O46" s="88">
        <f>(Inputs!$I$30*Inputs!$K$30+Inputs!$J$30*Inputs!$L$30)*ScenMult*(1+Inputs!$M$30)^(O$4-1)*O$6</f>
        <v>93.614096120089414</v>
      </c>
      <c r="P46" s="88">
        <f>(Inputs!$I$30*Inputs!$K$30+Inputs!$J$30*Inputs!$L$30)*ScenMult*(1+Inputs!$M$30)^(P$4-1)*P$6</f>
        <v>92.209884678288077</v>
      </c>
      <c r="Q46" s="88">
        <f>(Inputs!$I$30*Inputs!$K$30+Inputs!$J$30*Inputs!$L$30)*ScenMult*(1+Inputs!$M$30)^(Q$4-1)*Q$6</f>
        <v>90.82673640811376</v>
      </c>
      <c r="R46" s="88">
        <f>(Inputs!$I$30*Inputs!$K$30+Inputs!$J$30*Inputs!$L$30)*ScenMult*(1+Inputs!$M$30)^(R$4-1)*R$6</f>
        <v>89.464335361992042</v>
      </c>
      <c r="S46" s="88">
        <f>(Inputs!$I$30*Inputs!$K$30+Inputs!$J$30*Inputs!$L$30)*ScenMult*(1+Inputs!$M$30)^(S$4-1)*S$6</f>
        <v>88.122370331562166</v>
      </c>
      <c r="T46" s="88">
        <f>(Inputs!$I$30*Inputs!$K$30+Inputs!$J$30*Inputs!$L$30)*ScenMult*(1+Inputs!$M$30)^(T$4-1)*T$6</f>
        <v>86.800534776588734</v>
      </c>
      <c r="U46" s="88">
        <f>(Inputs!$I$30*Inputs!$K$30+Inputs!$J$30*Inputs!$L$30)*ScenMult*(1+Inputs!$M$30)^(U$4-1)*U$6</f>
        <v>85.498526754939903</v>
      </c>
      <c r="V46" s="88">
        <f>(Inputs!$I$30*Inputs!$K$30+Inputs!$J$30*Inputs!$L$30)*ScenMult*(1+Inputs!$M$30)^(V$4-1)*V$6</f>
        <v>84.216048853615803</v>
      </c>
      <c r="W46" s="88">
        <f>(Inputs!$I$30*Inputs!$K$30+Inputs!$J$30*Inputs!$L$30)*ScenMult*(1+Inputs!$M$30)^(W$4-1)*W$6</f>
        <v>82.952808120811568</v>
      </c>
    </row>
    <row r="47" spans="2:23">
      <c r="C47" s="21" t="str">
        <f>Inputs!$C$31</f>
        <v>SE-WN1</v>
      </c>
      <c r="D47" s="21" t="str">
        <f>Inputs!$D$31</f>
        <v>Sweden (SE3)</v>
      </c>
      <c r="E47" s="21" t="str">
        <f>Inputs!$E$31</f>
        <v>Onshore wind</v>
      </c>
      <c r="F47" s="6" t="s">
        <v>14</v>
      </c>
      <c r="G47" s="18">
        <f>IF(G23=0,0,G83*1000/G23)</f>
        <v>46.609642552849976</v>
      </c>
      <c r="I47" s="85">
        <f>(Inputs!$I$31*Inputs!$K$31+Inputs!$J$31*Inputs!$L$31)*ScenMult*(1+Inputs!$M$31)^(I$4-1)*I$6</f>
        <v>45</v>
      </c>
      <c r="J47" s="85">
        <f>(Inputs!$I$31*Inputs!$K$31+Inputs!$J$31*Inputs!$L$31)*ScenMult*(1+Inputs!$M$31)^(J$4-1)*J$6</f>
        <v>45.224999999999994</v>
      </c>
      <c r="K47" s="85">
        <f>(Inputs!$I$31*Inputs!$K$31+Inputs!$J$31*Inputs!$L$31)*ScenMult*(1+Inputs!$M$31)^(K$4-1)*K$6</f>
        <v>45.45112499999999</v>
      </c>
      <c r="L47" s="85">
        <f>(Inputs!$I$31*Inputs!$K$31+Inputs!$J$31*Inputs!$L$31)*ScenMult*(1+Inputs!$M$31)^(L$4-1)*L$6</f>
        <v>45.678380624999981</v>
      </c>
      <c r="M47" s="85">
        <f>(Inputs!$I$31*Inputs!$K$31+Inputs!$J$31*Inputs!$L$31)*ScenMult*(1+Inputs!$M$31)^(M$4-1)*M$6</f>
        <v>45.906772528124968</v>
      </c>
      <c r="N47" s="85">
        <f>(Inputs!$I$31*Inputs!$K$31+Inputs!$J$31*Inputs!$L$31)*ScenMult*(1+Inputs!$M$31)^(N$4-1)*N$6</f>
        <v>46.13630639076559</v>
      </c>
      <c r="O47" s="85">
        <f>(Inputs!$I$31*Inputs!$K$31+Inputs!$J$31*Inputs!$L$31)*ScenMult*(1+Inputs!$M$31)^(O$4-1)*O$6</f>
        <v>46.36698792271941</v>
      </c>
      <c r="P47" s="85">
        <f>(Inputs!$I$31*Inputs!$K$31+Inputs!$J$31*Inputs!$L$31)*ScenMult*(1+Inputs!$M$31)^(P$4-1)*P$6</f>
        <v>46.598822862333002</v>
      </c>
      <c r="Q47" s="85">
        <f>(Inputs!$I$31*Inputs!$K$31+Inputs!$J$31*Inputs!$L$31)*ScenMult*(1+Inputs!$M$31)^(Q$4-1)*Q$6</f>
        <v>46.83181697664466</v>
      </c>
      <c r="R47" s="85">
        <f>(Inputs!$I$31*Inputs!$K$31+Inputs!$J$31*Inputs!$L$31)*ScenMult*(1+Inputs!$M$31)^(R$4-1)*R$6</f>
        <v>47.065976061527884</v>
      </c>
      <c r="S47" s="85">
        <f>(Inputs!$I$31*Inputs!$K$31+Inputs!$J$31*Inputs!$L$31)*ScenMult*(1+Inputs!$M$31)^(S$4-1)*S$6</f>
        <v>47.301305941835508</v>
      </c>
      <c r="T47" s="85">
        <f>(Inputs!$I$31*Inputs!$K$31+Inputs!$J$31*Inputs!$L$31)*ScenMult*(1+Inputs!$M$31)^(T$4-1)*T$6</f>
        <v>47.537812471544683</v>
      </c>
      <c r="U47" s="85">
        <f>(Inputs!$I$31*Inputs!$K$31+Inputs!$J$31*Inputs!$L$31)*ScenMult*(1+Inputs!$M$31)^(U$4-1)*U$6</f>
        <v>47.775501533902393</v>
      </c>
      <c r="V47" s="85">
        <f>(Inputs!$I$31*Inputs!$K$31+Inputs!$J$31*Inputs!$L$31)*ScenMult*(1+Inputs!$M$31)^(V$4-1)*V$6</f>
        <v>48.0143790415719</v>
      </c>
      <c r="W47" s="85">
        <f>(Inputs!$I$31*Inputs!$K$31+Inputs!$J$31*Inputs!$L$31)*ScenMult*(1+Inputs!$M$31)^(W$4-1)*W$6</f>
        <v>48.254450936779754</v>
      </c>
    </row>
    <row r="48" spans="2:23">
      <c r="C48" s="22" t="str">
        <f>Inputs!$C$32</f>
        <v>FI-WN1</v>
      </c>
      <c r="D48" s="22" t="str">
        <f>Inputs!$D$32</f>
        <v>Finland</v>
      </c>
      <c r="E48" s="22" t="str">
        <f>Inputs!$E$32</f>
        <v>Onshore wind</v>
      </c>
      <c r="F48" s="23" t="s">
        <v>14</v>
      </c>
      <c r="G48" s="30">
        <f>IF(G24=0,0,G84*1000/G24)</f>
        <v>41.982493607613435</v>
      </c>
      <c r="H48" s="25"/>
      <c r="I48" s="88">
        <f>(Inputs!$I$32*Inputs!$K$32+Inputs!$J$32*Inputs!$L$32)*ScenMult*(1+Inputs!$M$32)^(I$4-1)*I$6</f>
        <v>45</v>
      </c>
      <c r="J48" s="88">
        <f>(Inputs!$I$32*Inputs!$K$32+Inputs!$J$32*Inputs!$L$32)*ScenMult*(1+Inputs!$M$32)^(J$4-1)*J$6</f>
        <v>44.55</v>
      </c>
      <c r="K48" s="88">
        <f>(Inputs!$I$32*Inputs!$K$32+Inputs!$J$32*Inputs!$L$32)*ScenMult*(1+Inputs!$M$32)^(K$4-1)*K$6</f>
        <v>44.104500000000002</v>
      </c>
      <c r="L48" s="88">
        <f>(Inputs!$I$32*Inputs!$K$32+Inputs!$J$32*Inputs!$L$32)*ScenMult*(1+Inputs!$M$32)^(L$4-1)*L$6</f>
        <v>43.663454999999999</v>
      </c>
      <c r="M48" s="88">
        <f>(Inputs!$I$32*Inputs!$K$32+Inputs!$J$32*Inputs!$L$32)*ScenMult*(1+Inputs!$M$32)^(M$4-1)*M$6</f>
        <v>43.226820449999998</v>
      </c>
      <c r="N48" s="88">
        <f>(Inputs!$I$32*Inputs!$K$32+Inputs!$J$32*Inputs!$L$32)*ScenMult*(1+Inputs!$M$32)^(N$4-1)*N$6</f>
        <v>42.794552245499993</v>
      </c>
      <c r="O48" s="88">
        <f>(Inputs!$I$32*Inputs!$K$32+Inputs!$J$32*Inputs!$L$32)*ScenMult*(1+Inputs!$M$32)^(O$4-1)*O$6</f>
        <v>42.366606723044995</v>
      </c>
      <c r="P48" s="88">
        <f>(Inputs!$I$32*Inputs!$K$32+Inputs!$J$32*Inputs!$L$32)*ScenMult*(1+Inputs!$M$32)^(P$4-1)*P$6</f>
        <v>41.942940655814546</v>
      </c>
      <c r="Q48" s="88">
        <f>(Inputs!$I$32*Inputs!$K$32+Inputs!$J$32*Inputs!$L$32)*ScenMult*(1+Inputs!$M$32)^(Q$4-1)*Q$6</f>
        <v>41.523511249256401</v>
      </c>
      <c r="R48" s="88">
        <f>(Inputs!$I$32*Inputs!$K$32+Inputs!$J$32*Inputs!$L$32)*ScenMult*(1+Inputs!$M$32)^(R$4-1)*R$6</f>
        <v>41.108276136763834</v>
      </c>
      <c r="S48" s="88">
        <f>(Inputs!$I$32*Inputs!$K$32+Inputs!$J$32*Inputs!$L$32)*ScenMult*(1+Inputs!$M$32)^(S$4-1)*S$6</f>
        <v>40.697193375396196</v>
      </c>
      <c r="T48" s="88">
        <f>(Inputs!$I$32*Inputs!$K$32+Inputs!$J$32*Inputs!$L$32)*ScenMult*(1+Inputs!$M$32)^(T$4-1)*T$6</f>
        <v>40.290221441642231</v>
      </c>
      <c r="U48" s="88">
        <f>(Inputs!$I$32*Inputs!$K$32+Inputs!$J$32*Inputs!$L$32)*ScenMult*(1+Inputs!$M$32)^(U$4-1)*U$6</f>
        <v>39.887319227225809</v>
      </c>
      <c r="V48" s="88">
        <f>(Inputs!$I$32*Inputs!$K$32+Inputs!$J$32*Inputs!$L$32)*ScenMult*(1+Inputs!$M$32)^(V$4-1)*V$6</f>
        <v>39.488446034953547</v>
      </c>
      <c r="W48" s="88">
        <f>(Inputs!$I$32*Inputs!$K$32+Inputs!$J$32*Inputs!$L$32)*ScenMult*(1+Inputs!$M$32)^(W$4-1)*W$6</f>
        <v>39.093561574604017</v>
      </c>
    </row>
    <row r="49" spans="2:23" ht="14.25" customHeight="1"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</row>
    <row r="50" spans="2:23">
      <c r="B50" s="70">
        <f>+B38+1</f>
        <v>5</v>
      </c>
      <c r="C50" s="70" t="s">
        <v>110</v>
      </c>
      <c r="D50" s="71"/>
      <c r="E50" s="71"/>
      <c r="F50" s="71"/>
      <c r="G50" s="71"/>
      <c r="H50" s="71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2:23">
      <c r="C51" s="21" t="str">
        <f>Inputs!$C$23</f>
        <v>ES-PV1</v>
      </c>
      <c r="D51" s="21" t="str">
        <f>Inputs!$D$23</f>
        <v>Spain</v>
      </c>
      <c r="E51" s="21" t="str">
        <f>Inputs!$E$23</f>
        <v>Solar PV</v>
      </c>
      <c r="F51" s="6" t="s">
        <v>14</v>
      </c>
      <c r="G51" s="18">
        <f>IF(G15=0,0,G87*1000/G15)</f>
        <v>40.740860571250465</v>
      </c>
      <c r="I51" s="85">
        <f>Inputs!$N$23*(1+Inputs!$O$23)^(I$4-1)*I$6</f>
        <v>38</v>
      </c>
      <c r="J51" s="85">
        <f>Inputs!$N$23*(1+Inputs!$O$23)^(J$4-1)*J$6</f>
        <v>38.380000000000003</v>
      </c>
      <c r="K51" s="85">
        <f>Inputs!$N$23*(1+Inputs!$O$23)^(K$4-1)*K$6</f>
        <v>38.763800000000003</v>
      </c>
      <c r="L51" s="85">
        <f>Inputs!$N$23*(1+Inputs!$O$23)^(L$4-1)*L$6</f>
        <v>39.151437999999999</v>
      </c>
      <c r="M51" s="85">
        <v>38</v>
      </c>
      <c r="N51" s="85">
        <f>Inputs!$N$23*(1+Inputs!$O$23)^(N$4-1)*N$6</f>
        <v>39.9383819038</v>
      </c>
      <c r="O51" s="85">
        <f>Inputs!$N$23*(1+Inputs!$O$23)^(O$4-1)*O$6</f>
        <v>40.337765722838007</v>
      </c>
      <c r="P51" s="85">
        <f>Inputs!$N$23*(1+Inputs!$O$23)^(P$4-1)*P$6</f>
        <v>40.741143380066376</v>
      </c>
      <c r="Q51" s="85">
        <f>Inputs!$N$23*(1+Inputs!$O$23)^(Q$4-1)*Q$6</f>
        <v>41.148554813867051</v>
      </c>
      <c r="R51" s="85">
        <f>Inputs!$N$23*(1+Inputs!$O$23)^(R$4-1)*R$6</f>
        <v>41.560040362005722</v>
      </c>
      <c r="S51" s="85">
        <f>Inputs!$N$23*(1+Inputs!$O$23)^(S$4-1)*S$6</f>
        <v>41.975640765625784</v>
      </c>
      <c r="T51" s="85">
        <f>Inputs!$N$23*(1+Inputs!$O$23)^(T$4-1)*T$6</f>
        <v>42.395397173282028</v>
      </c>
      <c r="U51" s="85">
        <f>Inputs!$N$23*(1+Inputs!$O$23)^(U$4-1)*U$6</f>
        <v>42.819351145014849</v>
      </c>
      <c r="V51" s="85">
        <f>Inputs!$N$23*(1+Inputs!$O$23)^(V$4-1)*V$6</f>
        <v>43.247544656465003</v>
      </c>
      <c r="W51" s="85">
        <f>Inputs!$N$23*(1+Inputs!$O$23)^(W$4-1)*W$6</f>
        <v>43.680020103029655</v>
      </c>
    </row>
    <row r="52" spans="2:23">
      <c r="C52" s="22" t="str">
        <f>Inputs!$C$24</f>
        <v>PT-PV1</v>
      </c>
      <c r="D52" s="22" t="str">
        <f>Inputs!$D$24</f>
        <v>Portugal</v>
      </c>
      <c r="E52" s="22" t="str">
        <f>Inputs!$E$24</f>
        <v>Solar PV</v>
      </c>
      <c r="F52" s="23" t="s">
        <v>14</v>
      </c>
      <c r="G52" s="30">
        <f>IF(G16=0,0,G88*1000/G16)</f>
        <v>42.885116390789953</v>
      </c>
      <c r="H52" s="25"/>
      <c r="I52" s="88">
        <f>Inputs!$N$24*(1+Inputs!$O$24)^(I$4-1)*I$6</f>
        <v>40</v>
      </c>
      <c r="J52" s="88">
        <f>Inputs!$N$24*(1+Inputs!$O$24)^(J$4-1)*J$6</f>
        <v>40.4</v>
      </c>
      <c r="K52" s="88">
        <f>Inputs!$N$24*(1+Inputs!$O$24)^(K$4-1)*K$6</f>
        <v>40.804000000000002</v>
      </c>
      <c r="L52" s="88">
        <f>Inputs!$N$24*(1+Inputs!$O$24)^(L$4-1)*L$6</f>
        <v>41.212039999999995</v>
      </c>
      <c r="M52" s="88">
        <f>Inputs!$N$24*(1+Inputs!$O$24)^(M$4-1)*M$6</f>
        <v>41.624160400000001</v>
      </c>
      <c r="N52" s="88">
        <f>Inputs!$N$24*(1+Inputs!$O$24)^(N$4-1)*N$6</f>
        <v>42.040402004000001</v>
      </c>
      <c r="O52" s="88">
        <f>Inputs!$N$24*(1+Inputs!$O$24)^(O$4-1)*O$6</f>
        <v>42.460806024040004</v>
      </c>
      <c r="P52" s="88">
        <f>Inputs!$N$24*(1+Inputs!$O$24)^(P$4-1)*P$6</f>
        <v>42.885414084280391</v>
      </c>
      <c r="Q52" s="88">
        <f>Inputs!$N$24*(1+Inputs!$O$24)^(Q$4-1)*Q$6</f>
        <v>43.314268225123207</v>
      </c>
      <c r="R52" s="88">
        <f>Inputs!$N$24*(1+Inputs!$O$24)^(R$4-1)*R$6</f>
        <v>43.747410907374444</v>
      </c>
      <c r="S52" s="88">
        <f>Inputs!$N$24*(1+Inputs!$O$24)^(S$4-1)*S$6</f>
        <v>44.184885016448192</v>
      </c>
      <c r="T52" s="88">
        <f>Inputs!$N$24*(1+Inputs!$O$24)^(T$4-1)*T$6</f>
        <v>44.626733866612661</v>
      </c>
      <c r="U52" s="88">
        <f>Inputs!$N$24*(1+Inputs!$O$24)^(U$4-1)*U$6</f>
        <v>45.073001205278793</v>
      </c>
      <c r="V52" s="88">
        <f>Inputs!$N$24*(1+Inputs!$O$24)^(V$4-1)*V$6</f>
        <v>45.52373121733158</v>
      </c>
      <c r="W52" s="88">
        <f>Inputs!$N$24*(1+Inputs!$O$24)^(W$4-1)*W$6</f>
        <v>45.978968529504904</v>
      </c>
    </row>
    <row r="53" spans="2:23">
      <c r="C53" s="21" t="str">
        <f>Inputs!$C$25</f>
        <v>IT-PV1</v>
      </c>
      <c r="D53" s="21" t="str">
        <f>Inputs!$D$25</f>
        <v>Italy (Sud)</v>
      </c>
      <c r="E53" s="21" t="str">
        <f>Inputs!$E$25</f>
        <v>Solar PV</v>
      </c>
      <c r="F53" s="6" t="s">
        <v>14</v>
      </c>
      <c r="G53" s="18">
        <f>IF(G17=0,0,G89*1000/G17)</f>
        <v>78.000000000000014</v>
      </c>
      <c r="I53" s="85">
        <f>Inputs!$N$25*(1+Inputs!$O$25)^(I$4-1)*I$6</f>
        <v>78</v>
      </c>
      <c r="J53" s="85">
        <f>Inputs!$N$25*(1+Inputs!$O$25)^(J$4-1)*J$6</f>
        <v>78</v>
      </c>
      <c r="K53" s="85">
        <f>Inputs!$N$25*(1+Inputs!$O$25)^(K$4-1)*K$6</f>
        <v>78</v>
      </c>
      <c r="L53" s="85">
        <f>Inputs!$N$25*(1+Inputs!$O$25)^(L$4-1)*L$6</f>
        <v>78</v>
      </c>
      <c r="M53" s="85">
        <f>Inputs!$N$25*(1+Inputs!$O$25)^(M$4-1)*M$6</f>
        <v>78</v>
      </c>
      <c r="N53" s="85">
        <f>Inputs!$N$25*(1+Inputs!$O$25)^(N$4-1)*N$6</f>
        <v>78</v>
      </c>
      <c r="O53" s="85">
        <f>Inputs!$N$25*(1+Inputs!$O$25)^(O$4-1)*O$6</f>
        <v>78</v>
      </c>
      <c r="P53" s="85">
        <f>Inputs!$N$25*(1+Inputs!$O$25)^(P$4-1)*P$6</f>
        <v>78</v>
      </c>
      <c r="Q53" s="85">
        <f>Inputs!$N$25*(1+Inputs!$O$25)^(Q$4-1)*Q$6</f>
        <v>78</v>
      </c>
      <c r="R53" s="85">
        <f>Inputs!$N$25*(1+Inputs!$O$25)^(R$4-1)*R$6</f>
        <v>78</v>
      </c>
      <c r="S53" s="85">
        <f>Inputs!$N$25*(1+Inputs!$O$25)^(S$4-1)*S$6</f>
        <v>78</v>
      </c>
      <c r="T53" s="85">
        <f>Inputs!$N$25*(1+Inputs!$O$25)^(T$4-1)*T$6</f>
        <v>78</v>
      </c>
      <c r="U53" s="85">
        <f>Inputs!$N$25*(1+Inputs!$O$25)^(U$4-1)*U$6</f>
        <v>78</v>
      </c>
      <c r="V53" s="85">
        <f>Inputs!$N$25*(1+Inputs!$O$25)^(V$4-1)*V$6</f>
        <v>78</v>
      </c>
      <c r="W53" s="85">
        <f>Inputs!$N$25*(1+Inputs!$O$25)^(W$4-1)*W$6</f>
        <v>78</v>
      </c>
    </row>
    <row r="54" spans="2:23">
      <c r="C54" s="22" t="str">
        <f>Inputs!$C$26</f>
        <v>GR-PV1</v>
      </c>
      <c r="D54" s="22" t="str">
        <f>Inputs!$D$26</f>
        <v>Greece</v>
      </c>
      <c r="E54" s="22" t="str">
        <f>Inputs!$E$26</f>
        <v>Solar PV</v>
      </c>
      <c r="F54" s="23" t="s">
        <v>14</v>
      </c>
      <c r="G54" s="30">
        <f>IF(G18=0,0,G90*1000/G18)</f>
        <v>60.046623132477059</v>
      </c>
      <c r="H54" s="25"/>
      <c r="I54" s="88">
        <f>Inputs!$N$26*(1+Inputs!$O$26)^(I$4-1)*I$6</f>
        <v>58</v>
      </c>
      <c r="J54" s="88">
        <f>Inputs!$N$26*(1+Inputs!$O$26)^(J$4-1)*J$6</f>
        <v>58.289999999999992</v>
      </c>
      <c r="K54" s="88">
        <f>Inputs!$N$26*(1+Inputs!$O$26)^(K$4-1)*K$6</f>
        <v>58.581449999999982</v>
      </c>
      <c r="L54" s="88">
        <f>Inputs!$N$26*(1+Inputs!$O$26)^(L$4-1)*L$6</f>
        <v>58.874357249999981</v>
      </c>
      <c r="M54" s="88">
        <f>Inputs!$N$26*(1+Inputs!$O$26)^(M$4-1)*M$6</f>
        <v>59.168729036249964</v>
      </c>
      <c r="N54" s="88">
        <f>Inputs!$N$26*(1+Inputs!$O$26)^(N$4-1)*N$6</f>
        <v>59.4645726814312</v>
      </c>
      <c r="O54" s="88">
        <f>Inputs!$N$26*(1+Inputs!$O$26)^(O$4-1)*O$6</f>
        <v>59.761895544838346</v>
      </c>
      <c r="P54" s="88">
        <f>Inputs!$N$26*(1+Inputs!$O$26)^(P$4-1)*P$6</f>
        <v>60.06070502256253</v>
      </c>
      <c r="Q54" s="88">
        <f>Inputs!$N$26*(1+Inputs!$O$26)^(Q$4-1)*Q$6</f>
        <v>60.36100854767534</v>
      </c>
      <c r="R54" s="88">
        <f>Inputs!$N$26*(1+Inputs!$O$26)^(R$4-1)*R$6</f>
        <v>60.662813590413712</v>
      </c>
      <c r="S54" s="88">
        <f>Inputs!$N$26*(1+Inputs!$O$26)^(S$4-1)*S$6</f>
        <v>60.966127658365771</v>
      </c>
      <c r="T54" s="88">
        <f>Inputs!$N$26*(1+Inputs!$O$26)^(T$4-1)*T$6</f>
        <v>61.270958296657597</v>
      </c>
      <c r="U54" s="88">
        <f>Inputs!$N$26*(1+Inputs!$O$26)^(U$4-1)*U$6</f>
        <v>61.577313088140862</v>
      </c>
      <c r="V54" s="88">
        <f>Inputs!$N$26*(1+Inputs!$O$26)^(V$4-1)*V$6</f>
        <v>61.885199653581559</v>
      </c>
      <c r="W54" s="88">
        <f>Inputs!$N$26*(1+Inputs!$O$26)^(W$4-1)*W$6</f>
        <v>62.194625651849456</v>
      </c>
    </row>
    <row r="55" spans="2:23">
      <c r="C55" s="21" t="str">
        <f>Inputs!$C$27</f>
        <v>FR-WN1</v>
      </c>
      <c r="D55" s="21" t="str">
        <f>Inputs!$D$27</f>
        <v>France</v>
      </c>
      <c r="E55" s="21" t="str">
        <f>Inputs!$E$27</f>
        <v>Onshore wind</v>
      </c>
      <c r="F55" s="6" t="s">
        <v>14</v>
      </c>
      <c r="G55" s="18">
        <f>IF(G19=0,0,G91*1000/G19)</f>
        <v>68.680087624532717</v>
      </c>
      <c r="I55" s="85">
        <f>Inputs!$N$27*(1+Inputs!$O$27)^(I$4-1)*I$6</f>
        <v>64</v>
      </c>
      <c r="J55" s="85">
        <f>Inputs!$N$27*(1+Inputs!$O$27)^(J$4-1)*J$6</f>
        <v>64.64</v>
      </c>
      <c r="K55" s="85">
        <f>Inputs!$N$27*(1+Inputs!$O$27)^(K$4-1)*K$6</f>
        <v>65.2864</v>
      </c>
      <c r="L55" s="85">
        <f>Inputs!$N$27*(1+Inputs!$O$27)^(L$4-1)*L$6</f>
        <v>65.939263999999994</v>
      </c>
      <c r="M55" s="85">
        <f>Inputs!$N$27*(1+Inputs!$O$27)^(M$4-1)*M$6</f>
        <v>66.598656640000002</v>
      </c>
      <c r="N55" s="85">
        <f>Inputs!$N$27*(1+Inputs!$O$27)^(N$4-1)*N$6</f>
        <v>67.264643206399995</v>
      </c>
      <c r="O55" s="85">
        <f>Inputs!$N$27*(1+Inputs!$O$27)^(O$4-1)*O$6</f>
        <v>67.937289638464009</v>
      </c>
      <c r="P55" s="85">
        <f>Inputs!$N$27*(1+Inputs!$O$27)^(P$4-1)*P$6</f>
        <v>68.616662534848629</v>
      </c>
      <c r="Q55" s="85">
        <f>Inputs!$N$27*(1+Inputs!$O$27)^(Q$4-1)*Q$6</f>
        <v>69.302829160197135</v>
      </c>
      <c r="R55" s="85">
        <f>Inputs!$N$27*(1+Inputs!$O$27)^(R$4-1)*R$6</f>
        <v>69.995857451799111</v>
      </c>
      <c r="S55" s="85">
        <f>Inputs!$N$27*(1+Inputs!$O$27)^(S$4-1)*S$6</f>
        <v>70.695816026317104</v>
      </c>
      <c r="T55" s="85">
        <f>Inputs!$N$27*(1+Inputs!$O$27)^(T$4-1)*T$6</f>
        <v>71.40277418658026</v>
      </c>
      <c r="U55" s="85">
        <f>Inputs!$N$27*(1+Inputs!$O$27)^(U$4-1)*U$6</f>
        <v>72.116801928446066</v>
      </c>
      <c r="V55" s="85">
        <f>Inputs!$N$27*(1+Inputs!$O$27)^(V$4-1)*V$6</f>
        <v>72.837969947730528</v>
      </c>
      <c r="W55" s="85">
        <f>Inputs!$N$27*(1+Inputs!$O$27)^(W$4-1)*W$6</f>
        <v>73.566349647207844</v>
      </c>
    </row>
    <row r="56" spans="2:23">
      <c r="C56" s="22" t="str">
        <f>Inputs!$C$28</f>
        <v>DE-WN1</v>
      </c>
      <c r="D56" s="22" t="str">
        <f>Inputs!$D$28</f>
        <v>Germany</v>
      </c>
      <c r="E56" s="22" t="str">
        <f>Inputs!$E$28</f>
        <v>Onshore wind</v>
      </c>
      <c r="F56" s="23" t="s">
        <v>14</v>
      </c>
      <c r="G56" s="30">
        <f>IF(G20=0,0,G92*1000/G20)</f>
        <v>77.265098577599304</v>
      </c>
      <c r="H56" s="25"/>
      <c r="I56" s="88">
        <f>Inputs!$N$28*(1+Inputs!$O$28)^(I$4-1)*I$6</f>
        <v>72</v>
      </c>
      <c r="J56" s="88">
        <f>Inputs!$N$28*(1+Inputs!$O$28)^(J$4-1)*J$6</f>
        <v>72.72</v>
      </c>
      <c r="K56" s="88">
        <f>Inputs!$N$28*(1+Inputs!$O$28)^(K$4-1)*K$6</f>
        <v>73.447199999999995</v>
      </c>
      <c r="L56" s="88">
        <f>Inputs!$N$28*(1+Inputs!$O$28)^(L$4-1)*L$6</f>
        <v>74.181671999999992</v>
      </c>
      <c r="M56" s="88">
        <f>Inputs!$N$28*(1+Inputs!$O$28)^(M$4-1)*M$6</f>
        <v>74.923488719999995</v>
      </c>
      <c r="N56" s="88">
        <f>Inputs!$N$28*(1+Inputs!$O$28)^(N$4-1)*N$6</f>
        <v>75.672723607199998</v>
      </c>
      <c r="O56" s="88">
        <f>Inputs!$N$28*(1+Inputs!$O$28)^(O$4-1)*O$6</f>
        <v>76.429450843272008</v>
      </c>
      <c r="P56" s="88">
        <f>Inputs!$N$28*(1+Inputs!$O$28)^(P$4-1)*P$6</f>
        <v>77.193745351704706</v>
      </c>
      <c r="Q56" s="88">
        <f>Inputs!$N$28*(1+Inputs!$O$28)^(Q$4-1)*Q$6</f>
        <v>77.965682805221775</v>
      </c>
      <c r="R56" s="88">
        <f>Inputs!$N$28*(1+Inputs!$O$28)^(R$4-1)*R$6</f>
        <v>78.745339633274</v>
      </c>
      <c r="S56" s="88">
        <f>Inputs!$N$28*(1+Inputs!$O$28)^(S$4-1)*S$6</f>
        <v>79.532793029606736</v>
      </c>
      <c r="T56" s="88">
        <f>Inputs!$N$28*(1+Inputs!$O$28)^(T$4-1)*T$6</f>
        <v>80.32812095990279</v>
      </c>
      <c r="U56" s="88">
        <f>Inputs!$N$28*(1+Inputs!$O$28)^(U$4-1)*U$6</f>
        <v>81.131402169501825</v>
      </c>
      <c r="V56" s="88">
        <f>Inputs!$N$28*(1+Inputs!$O$28)^(V$4-1)*V$6</f>
        <v>81.942716191196837</v>
      </c>
      <c r="W56" s="88">
        <f>Inputs!$N$28*(1+Inputs!$O$28)^(W$4-1)*W$6</f>
        <v>82.762143353108826</v>
      </c>
    </row>
    <row r="57" spans="2:23">
      <c r="C57" s="21" t="str">
        <f>Inputs!$C$29</f>
        <v>NL-OW1</v>
      </c>
      <c r="D57" s="21" t="str">
        <f>Inputs!$D$29</f>
        <v>Netherlands</v>
      </c>
      <c r="E57" s="21" t="str">
        <f>Inputs!$E$29</f>
        <v>Offshore wind</v>
      </c>
      <c r="F57" s="6" t="s">
        <v>14</v>
      </c>
      <c r="G57" s="18">
        <f>IF(G21=0,0,G93*1000/G21)</f>
        <v>88.971401477109083</v>
      </c>
      <c r="I57" s="85">
        <f>Inputs!$N$29*(1+Inputs!$O$29)^(I$4-1)*I$6</f>
        <v>80</v>
      </c>
      <c r="J57" s="85">
        <f>Inputs!$N$29*(1+Inputs!$O$29)^(J$4-1)*J$6</f>
        <v>81.199999999999989</v>
      </c>
      <c r="K57" s="85">
        <f>Inputs!$N$29*(1+Inputs!$O$29)^(K$4-1)*K$6</f>
        <v>82.417999999999978</v>
      </c>
      <c r="L57" s="85">
        <f>Inputs!$N$29*(1+Inputs!$O$29)^(L$4-1)*L$6</f>
        <v>83.654269999999968</v>
      </c>
      <c r="M57" s="85">
        <f>Inputs!$N$29*(1+Inputs!$O$29)^(M$4-1)*M$6</f>
        <v>84.909084049999962</v>
      </c>
      <c r="N57" s="85">
        <f>Inputs!$N$29*(1+Inputs!$O$29)^(N$4-1)*N$6</f>
        <v>86.182720310749943</v>
      </c>
      <c r="O57" s="85">
        <f>Inputs!$N$29*(1+Inputs!$O$29)^(O$4-1)*O$6</f>
        <v>87.475461115411179</v>
      </c>
      <c r="P57" s="85">
        <f>Inputs!$N$29*(1+Inputs!$O$29)^(P$4-1)*P$6</f>
        <v>88.787593032142325</v>
      </c>
      <c r="Q57" s="85">
        <f>Inputs!$N$29*(1+Inputs!$O$29)^(Q$4-1)*Q$6</f>
        <v>90.119406927624453</v>
      </c>
      <c r="R57" s="85">
        <f>Inputs!$N$29*(1+Inputs!$O$29)^(R$4-1)*R$6</f>
        <v>91.471198031538819</v>
      </c>
      <c r="S57" s="85">
        <f>Inputs!$N$29*(1+Inputs!$O$29)^(S$4-1)*S$6</f>
        <v>92.843266002011887</v>
      </c>
      <c r="T57" s="85">
        <f>Inputs!$N$29*(1+Inputs!$O$29)^(T$4-1)*T$6</f>
        <v>94.235914992042055</v>
      </c>
      <c r="U57" s="85">
        <f>Inputs!$N$29*(1+Inputs!$O$29)^(U$4-1)*U$6</f>
        <v>95.649453716922665</v>
      </c>
      <c r="V57" s="85">
        <f>Inputs!$N$29*(1+Inputs!$O$29)^(V$4-1)*V$6</f>
        <v>97.084195522676495</v>
      </c>
      <c r="W57" s="85">
        <f>Inputs!$N$29*(1+Inputs!$O$29)^(W$4-1)*W$6</f>
        <v>98.540458455516614</v>
      </c>
    </row>
    <row r="58" spans="2:23">
      <c r="C58" s="22" t="str">
        <f>Inputs!$C$30</f>
        <v>PL-WN1</v>
      </c>
      <c r="D58" s="22" t="str">
        <f>Inputs!$D$30</f>
        <v>Poland</v>
      </c>
      <c r="E58" s="22" t="str">
        <f>Inputs!$E$30</f>
        <v>Onshore wind</v>
      </c>
      <c r="F58" s="23" t="s">
        <v>14</v>
      </c>
      <c r="G58" s="30">
        <f>IF(G22=0,0,G94*1000/G22)</f>
        <v>87.996362268932529</v>
      </c>
      <c r="H58" s="25"/>
      <c r="I58" s="88">
        <f>Inputs!$N$30*(1+Inputs!$O$30)^(I$4-1)*I$6</f>
        <v>82</v>
      </c>
      <c r="J58" s="88">
        <f>Inputs!$N$30*(1+Inputs!$O$30)^(J$4-1)*J$6</f>
        <v>82.820000000000007</v>
      </c>
      <c r="K58" s="88">
        <f>Inputs!$N$30*(1+Inputs!$O$30)^(K$4-1)*K$6</f>
        <v>83.648200000000003</v>
      </c>
      <c r="L58" s="88">
        <f>Inputs!$N$30*(1+Inputs!$O$30)^(L$4-1)*L$6</f>
        <v>84.484681999999992</v>
      </c>
      <c r="M58" s="88">
        <f>Inputs!$N$30*(1+Inputs!$O$30)^(M$4-1)*M$6</f>
        <v>85.329528820000007</v>
      </c>
      <c r="N58" s="88">
        <f>Inputs!$N$30*(1+Inputs!$O$30)^(N$4-1)*N$6</f>
        <v>86.182824108199995</v>
      </c>
      <c r="O58" s="88">
        <f>Inputs!$N$30*(1+Inputs!$O$30)^(O$4-1)*O$6</f>
        <v>87.044652349282018</v>
      </c>
      <c r="P58" s="88">
        <f>Inputs!$N$30*(1+Inputs!$O$30)^(P$4-1)*P$6</f>
        <v>87.915098872774806</v>
      </c>
      <c r="Q58" s="88">
        <f>Inputs!$N$30*(1+Inputs!$O$30)^(Q$4-1)*Q$6</f>
        <v>88.794249861502578</v>
      </c>
      <c r="R58" s="88">
        <f>Inputs!$N$30*(1+Inputs!$O$30)^(R$4-1)*R$6</f>
        <v>89.682192360117611</v>
      </c>
      <c r="S58" s="88">
        <f>Inputs!$N$30*(1+Inputs!$O$30)^(S$4-1)*S$6</f>
        <v>90.579014283718791</v>
      </c>
      <c r="T58" s="88">
        <f>Inputs!$N$30*(1+Inputs!$O$30)^(T$4-1)*T$6</f>
        <v>91.484804426555954</v>
      </c>
      <c r="U58" s="88">
        <f>Inputs!$N$30*(1+Inputs!$O$30)^(U$4-1)*U$6</f>
        <v>92.399652470821522</v>
      </c>
      <c r="V58" s="88">
        <f>Inputs!$N$30*(1+Inputs!$O$30)^(V$4-1)*V$6</f>
        <v>93.323648995529737</v>
      </c>
      <c r="W58" s="88">
        <f>Inputs!$N$30*(1+Inputs!$O$30)^(W$4-1)*W$6</f>
        <v>94.256885485485043</v>
      </c>
    </row>
    <row r="59" spans="2:23">
      <c r="C59" s="21" t="str">
        <f>Inputs!$C$31</f>
        <v>SE-WN1</v>
      </c>
      <c r="D59" s="21" t="str">
        <f>Inputs!$D$31</f>
        <v>Sweden (SE3)</v>
      </c>
      <c r="E59" s="21" t="str">
        <f>Inputs!$E$31</f>
        <v>Onshore wind</v>
      </c>
      <c r="F59" s="6" t="s">
        <v>14</v>
      </c>
      <c r="G59" s="18">
        <f>IF(G23=0,0,G95*1000/G23)</f>
        <v>38.632549288799645</v>
      </c>
      <c r="I59" s="85">
        <f>Inputs!$N$31*(1+Inputs!$O$31)^(I$4-1)*I$6</f>
        <v>36</v>
      </c>
      <c r="J59" s="85">
        <f>Inputs!$N$31*(1+Inputs!$O$31)^(J$4-1)*J$6</f>
        <v>36.36</v>
      </c>
      <c r="K59" s="85">
        <f>Inputs!$N$31*(1+Inputs!$O$31)^(K$4-1)*K$6</f>
        <v>36.723599999999998</v>
      </c>
      <c r="L59" s="85">
        <f>Inputs!$N$31*(1+Inputs!$O$31)^(L$4-1)*L$6</f>
        <v>37.090835999999996</v>
      </c>
      <c r="M59" s="85">
        <f>Inputs!$N$31*(1+Inputs!$O$31)^(M$4-1)*M$6</f>
        <v>37.461744359999997</v>
      </c>
      <c r="N59" s="85">
        <f>Inputs!$N$31*(1+Inputs!$O$31)^(N$4-1)*N$6</f>
        <v>37.836361803599999</v>
      </c>
      <c r="O59" s="85">
        <f>Inputs!$N$31*(1+Inputs!$O$31)^(O$4-1)*O$6</f>
        <v>38.214725421636004</v>
      </c>
      <c r="P59" s="85">
        <f>Inputs!$N$31*(1+Inputs!$O$31)^(P$4-1)*P$6</f>
        <v>38.596872675852353</v>
      </c>
      <c r="Q59" s="85">
        <f>Inputs!$N$31*(1+Inputs!$O$31)^(Q$4-1)*Q$6</f>
        <v>38.982841402610887</v>
      </c>
      <c r="R59" s="85">
        <f>Inputs!$N$31*(1+Inputs!$O$31)^(R$4-1)*R$6</f>
        <v>39.372669816637</v>
      </c>
      <c r="S59" s="85">
        <f>Inputs!$N$31*(1+Inputs!$O$31)^(S$4-1)*S$6</f>
        <v>39.766396514803368</v>
      </c>
      <c r="T59" s="85">
        <f>Inputs!$N$31*(1+Inputs!$O$31)^(T$4-1)*T$6</f>
        <v>40.164060479951395</v>
      </c>
      <c r="U59" s="85">
        <f>Inputs!$N$31*(1+Inputs!$O$31)^(U$4-1)*U$6</f>
        <v>40.565701084750913</v>
      </c>
      <c r="V59" s="85">
        <f>Inputs!$N$31*(1+Inputs!$O$31)^(V$4-1)*V$6</f>
        <v>40.971358095598418</v>
      </c>
      <c r="W59" s="85">
        <f>Inputs!$N$31*(1+Inputs!$O$31)^(W$4-1)*W$6</f>
        <v>41.381071676554413</v>
      </c>
    </row>
    <row r="60" spans="2:23">
      <c r="C60" s="22" t="str">
        <f>Inputs!$C$32</f>
        <v>FI-WN1</v>
      </c>
      <c r="D60" s="22" t="str">
        <f>Inputs!$D$32</f>
        <v>Finland</v>
      </c>
      <c r="E60" s="22" t="str">
        <f>Inputs!$E$32</f>
        <v>Onshore wind</v>
      </c>
      <c r="F60" s="23" t="s">
        <v>14</v>
      </c>
      <c r="G60" s="30">
        <f>IF(G24=0,0,G96*1000/G24)</f>
        <v>40.778802027066305</v>
      </c>
      <c r="H60" s="25"/>
      <c r="I60" s="88">
        <f>Inputs!$N$32*(1+Inputs!$O$32)^(I$4-1)*I$6</f>
        <v>38</v>
      </c>
      <c r="J60" s="88">
        <f>Inputs!$N$32*(1+Inputs!$O$32)^(J$4-1)*J$6</f>
        <v>38.380000000000003</v>
      </c>
      <c r="K60" s="88">
        <f>Inputs!$N$32*(1+Inputs!$O$32)^(K$4-1)*K$6</f>
        <v>38.763800000000003</v>
      </c>
      <c r="L60" s="88">
        <f>Inputs!$N$32*(1+Inputs!$O$32)^(L$4-1)*L$6</f>
        <v>39.151437999999999</v>
      </c>
      <c r="M60" s="88">
        <f>Inputs!$N$32*(1+Inputs!$O$32)^(M$4-1)*M$6</f>
        <v>39.542952380000003</v>
      </c>
      <c r="N60" s="88">
        <f>Inputs!$N$32*(1+Inputs!$O$32)^(N$4-1)*N$6</f>
        <v>39.9383819038</v>
      </c>
      <c r="O60" s="88">
        <f>Inputs!$N$32*(1+Inputs!$O$32)^(O$4-1)*O$6</f>
        <v>40.337765722838007</v>
      </c>
      <c r="P60" s="88">
        <f>Inputs!$N$32*(1+Inputs!$O$32)^(P$4-1)*P$6</f>
        <v>40.741143380066376</v>
      </c>
      <c r="Q60" s="88">
        <f>Inputs!$N$32*(1+Inputs!$O$32)^(Q$4-1)*Q$6</f>
        <v>41.148554813867051</v>
      </c>
      <c r="R60" s="88">
        <f>Inputs!$N$32*(1+Inputs!$O$32)^(R$4-1)*R$6</f>
        <v>41.560040362005722</v>
      </c>
      <c r="S60" s="88">
        <f>Inputs!$N$32*(1+Inputs!$O$32)^(S$4-1)*S$6</f>
        <v>41.975640765625784</v>
      </c>
      <c r="T60" s="88">
        <f>Inputs!$N$32*(1+Inputs!$O$32)^(T$4-1)*T$6</f>
        <v>42.395397173282028</v>
      </c>
      <c r="U60" s="88">
        <f>Inputs!$N$32*(1+Inputs!$O$32)^(U$4-1)*U$6</f>
        <v>42.819351145014849</v>
      </c>
      <c r="V60" s="88">
        <f>Inputs!$N$32*(1+Inputs!$O$32)^(V$4-1)*V$6</f>
        <v>43.247544656465003</v>
      </c>
      <c r="W60" s="88">
        <f>Inputs!$N$32*(1+Inputs!$O$32)^(W$4-1)*W$6</f>
        <v>43.680020103029655</v>
      </c>
    </row>
    <row r="62" spans="2:23">
      <c r="B62" s="70">
        <f>+B50+1</f>
        <v>6</v>
      </c>
      <c r="C62" s="70" t="s">
        <v>111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</row>
    <row r="63" spans="2:23">
      <c r="C63" s="21" t="str">
        <f>Inputs!$C$23</f>
        <v>ES-PV1</v>
      </c>
      <c r="D63" s="21" t="str">
        <f>Inputs!$D$23</f>
        <v>Spain</v>
      </c>
      <c r="E63" s="21" t="str">
        <f>Inputs!$E$23</f>
        <v>Solar PV</v>
      </c>
      <c r="F63" s="6" t="s">
        <v>14</v>
      </c>
      <c r="G63" s="18">
        <f>G39-G51</f>
        <v>10.432550758731452</v>
      </c>
      <c r="I63" s="31">
        <f>I39-I51</f>
        <v>16.799999999999997</v>
      </c>
      <c r="J63" s="31">
        <f>J39-J51</f>
        <v>15.871999999999993</v>
      </c>
      <c r="K63" s="31">
        <f>K39-K51</f>
        <v>14.945679999999989</v>
      </c>
      <c r="L63" s="31">
        <f>L39-L51</f>
        <v>14.020947199999995</v>
      </c>
      <c r="M63" s="31">
        <f>M39-M51</f>
        <v>13.097708967999992</v>
      </c>
      <c r="N63" s="31">
        <f>N39-N51</f>
        <v>12.175872830719996</v>
      </c>
      <c r="O63" s="31">
        <f>O39-O51</f>
        <v>11.255346464336782</v>
      </c>
      <c r="P63" s="31">
        <f>P39-P51</f>
        <v>10.336037685236668</v>
      </c>
      <c r="Q63" s="31">
        <f>Q39-Q51</f>
        <v>9.4178544407829605</v>
      </c>
      <c r="R63" s="31">
        <f>R39-R51</f>
        <v>8.5007048000977861</v>
      </c>
      <c r="S63" s="31">
        <f>S39-S51</f>
        <v>7.5844969448566886</v>
      </c>
      <c r="T63" s="31">
        <f>T39-T51</f>
        <v>6.669139160095618</v>
      </c>
      <c r="U63" s="31">
        <f>U39-U51</f>
        <v>5.7545398250290205</v>
      </c>
      <c r="V63" s="31">
        <f>V39-V51</f>
        <v>4.8406074038784226</v>
      </c>
      <c r="W63" s="31">
        <f>W39-W51</f>
        <v>3.9272504367103451</v>
      </c>
    </row>
    <row r="64" spans="2:23">
      <c r="C64" s="22" t="str">
        <f>Inputs!$C$24</f>
        <v>PT-PV1</v>
      </c>
      <c r="D64" s="22" t="str">
        <f>Inputs!$D$24</f>
        <v>Portugal</v>
      </c>
      <c r="E64" s="22" t="str">
        <f>Inputs!$E$24</f>
        <v>Solar PV</v>
      </c>
      <c r="F64" s="23" t="s">
        <v>14</v>
      </c>
      <c r="G64" s="30">
        <f>G40-G52</f>
        <v>7.5412378394842108</v>
      </c>
      <c r="H64" s="25"/>
      <c r="I64" s="32">
        <f>I40-I52</f>
        <v>14</v>
      </c>
      <c r="J64" s="32">
        <f>J40-J52</f>
        <v>13.060000000000002</v>
      </c>
      <c r="K64" s="32">
        <f>K40-K52</f>
        <v>12.121399999999994</v>
      </c>
      <c r="L64" s="32">
        <f>L40-L52</f>
        <v>11.184106</v>
      </c>
      <c r="M64" s="32">
        <f>M40-M52</f>
        <v>10.248024139999998</v>
      </c>
      <c r="N64" s="32">
        <f>N40-N52</f>
        <v>9.3130606905999969</v>
      </c>
      <c r="O64" s="32">
        <f>O40-O52</f>
        <v>8.3791220436139895</v>
      </c>
      <c r="P64" s="32">
        <f>P40-P52</f>
        <v>7.4461147026970664</v>
      </c>
      <c r="Q64" s="32">
        <f>Q40-Q52</f>
        <v>6.5139452739844685</v>
      </c>
      <c r="R64" s="32">
        <f>R40-R52</f>
        <v>5.5825204567421522</v>
      </c>
      <c r="S64" s="32">
        <f>S40-S52</f>
        <v>4.6517470340272382</v>
      </c>
      <c r="T64" s="32">
        <f>T40-T52</f>
        <v>3.7215318633580168</v>
      </c>
      <c r="U64" s="32">
        <f>U40-U52</f>
        <v>2.7917818673921815</v>
      </c>
      <c r="V64" s="32">
        <f>V40-V52</f>
        <v>1.8624040246126796</v>
      </c>
      <c r="W64" s="32">
        <f>W40-W52</f>
        <v>0.93330536001991504</v>
      </c>
    </row>
    <row r="65" spans="2:23">
      <c r="C65" s="21" t="str">
        <f>Inputs!$C$25</f>
        <v>IT-PV1</v>
      </c>
      <c r="D65" s="21" t="str">
        <f>Inputs!$D$25</f>
        <v>Italy (Sud)</v>
      </c>
      <c r="E65" s="21" t="str">
        <f>Inputs!$E$25</f>
        <v>Solar PV</v>
      </c>
      <c r="F65" s="6" t="s">
        <v>14</v>
      </c>
      <c r="G65" s="18">
        <f>G41-G53</f>
        <v>11.087127465878481</v>
      </c>
      <c r="I65" s="31">
        <f>I41-I53</f>
        <v>31</v>
      </c>
      <c r="J65" s="31">
        <f>J41-J53</f>
        <v>27.730000000000004</v>
      </c>
      <c r="K65" s="31">
        <f>K41-K53</f>
        <v>24.558099999999996</v>
      </c>
      <c r="L65" s="31">
        <f>L41-L53</f>
        <v>21.481356999999988</v>
      </c>
      <c r="M65" s="31">
        <f>M41-M53</f>
        <v>18.496916289999987</v>
      </c>
      <c r="N65" s="31">
        <f>N41-N53</f>
        <v>15.602008801299988</v>
      </c>
      <c r="O65" s="31">
        <f>O41-O53</f>
        <v>12.793948537260988</v>
      </c>
      <c r="P65" s="31">
        <f>P41-P53</f>
        <v>10.070130081143162</v>
      </c>
      <c r="Q65" s="31">
        <f>Q41-Q53</f>
        <v>7.4280261787088619</v>
      </c>
      <c r="R65" s="31">
        <f>R41-R53</f>
        <v>4.8651853933475877</v>
      </c>
      <c r="S65" s="31">
        <f>S41-S53</f>
        <v>2.3792298315471783</v>
      </c>
      <c r="T65" s="31">
        <f>T41-T53</f>
        <v>-3.2147063399250442E-2</v>
      </c>
      <c r="U65" s="31">
        <f>U41-U53</f>
        <v>-2.3711826514972785</v>
      </c>
      <c r="V65" s="31">
        <f>V41-V53</f>
        <v>-4.6400471719523608</v>
      </c>
      <c r="W65" s="31">
        <f>W41-W53</f>
        <v>-6.840845756793783</v>
      </c>
    </row>
    <row r="66" spans="2:23">
      <c r="C66" s="22" t="str">
        <f>Inputs!$C$26</f>
        <v>GR-PV1</v>
      </c>
      <c r="D66" s="22" t="str">
        <f>Inputs!$D$26</f>
        <v>Greece</v>
      </c>
      <c r="E66" s="22" t="str">
        <f>Inputs!$E$26</f>
        <v>Solar PV</v>
      </c>
      <c r="F66" s="23" t="s">
        <v>14</v>
      </c>
      <c r="G66" s="30">
        <f>G42-G54</f>
        <v>20.800727919155356</v>
      </c>
      <c r="H66" s="25"/>
      <c r="I66" s="32">
        <f>I42-I54</f>
        <v>34.599999999999994</v>
      </c>
      <c r="J66" s="32">
        <f>J42-J54</f>
        <v>32.457999999999998</v>
      </c>
      <c r="K66" s="32">
        <f>K42-K54</f>
        <v>30.351590000000009</v>
      </c>
      <c r="L66" s="32">
        <f>L42-L54</f>
        <v>28.280021950000013</v>
      </c>
      <c r="M66" s="32">
        <f>M42-M54</f>
        <v>26.242562579750022</v>
      </c>
      <c r="N66" s="32">
        <f>N42-N54</f>
        <v>24.238493102248775</v>
      </c>
      <c r="O66" s="32">
        <f>O42-O54</f>
        <v>22.267108923168031</v>
      </c>
      <c r="P66" s="32">
        <f>P42-P54</f>
        <v>20.327719356083719</v>
      </c>
      <c r="Q66" s="32">
        <f>Q42-Q54</f>
        <v>18.419647343397983</v>
      </c>
      <c r="R66" s="32">
        <f>R42-R54</f>
        <v>16.542229182838149</v>
      </c>
      <c r="S66" s="32">
        <f>S42-S54</f>
        <v>14.694814259421044</v>
      </c>
      <c r="T66" s="32">
        <f>T42-T54</f>
        <v>12.876764782773478</v>
      </c>
      <c r="U66" s="32">
        <f>U42-U54</f>
        <v>11.087455529701593</v>
      </c>
      <c r="V66" s="32">
        <f>V42-V54</f>
        <v>9.3262735919040338</v>
      </c>
      <c r="W66" s="32">
        <f>W42-W54</f>
        <v>7.5926181287264214</v>
      </c>
    </row>
    <row r="67" spans="2:23">
      <c r="C67" s="21" t="str">
        <f>Inputs!$C$27</f>
        <v>FR-WN1</v>
      </c>
      <c r="D67" s="21" t="str">
        <f>Inputs!$D$27</f>
        <v>France</v>
      </c>
      <c r="E67" s="21" t="str">
        <f>Inputs!$E$27</f>
        <v>Onshore wind</v>
      </c>
      <c r="F67" s="6" t="s">
        <v>14</v>
      </c>
      <c r="G67" s="18">
        <f>G43-G55</f>
        <v>-1.0731263691333197</v>
      </c>
      <c r="I67" s="31">
        <f>I43-I55</f>
        <v>-1</v>
      </c>
      <c r="J67" s="31">
        <f>J43-J55</f>
        <v>-1.009999999999998</v>
      </c>
      <c r="K67" s="31">
        <f>K43-K55</f>
        <v>-1.0200999999999993</v>
      </c>
      <c r="L67" s="31">
        <f>L43-L55</f>
        <v>-1.0303009999999944</v>
      </c>
      <c r="M67" s="31">
        <f>M43-M55</f>
        <v>-1.0406040099999956</v>
      </c>
      <c r="N67" s="31">
        <f>N43-N55</f>
        <v>-1.0510100501000039</v>
      </c>
      <c r="O67" s="31">
        <f>O43-O55</f>
        <v>-1.0615201506009981</v>
      </c>
      <c r="P67" s="31">
        <f>P43-P55</f>
        <v>-1.0721353521070114</v>
      </c>
      <c r="Q67" s="31">
        <f>Q43-Q55</f>
        <v>-1.0828567056280747</v>
      </c>
      <c r="R67" s="31">
        <f>R43-R55</f>
        <v>-1.093685272684354</v>
      </c>
      <c r="S67" s="31">
        <f>S43-S55</f>
        <v>-1.1046221254112112</v>
      </c>
      <c r="T67" s="31">
        <f>T43-T55</f>
        <v>-1.1156683466653163</v>
      </c>
      <c r="U67" s="31">
        <f>U43-U55</f>
        <v>-1.1268250301319682</v>
      </c>
      <c r="V67" s="31">
        <f>V43-V55</f>
        <v>-1.1380932804332957</v>
      </c>
      <c r="W67" s="31">
        <f>W43-W55</f>
        <v>-1.1494742132376246</v>
      </c>
    </row>
    <row r="68" spans="2:23">
      <c r="C68" s="22" t="str">
        <f>Inputs!$C$28</f>
        <v>DE-WN1</v>
      </c>
      <c r="D68" s="22" t="str">
        <f>Inputs!$D$28</f>
        <v>Germany</v>
      </c>
      <c r="E68" s="22" t="str">
        <f>Inputs!$E$28</f>
        <v>Onshore wind</v>
      </c>
      <c r="F68" s="23" t="s">
        <v>14</v>
      </c>
      <c r="G68" s="30">
        <f>G44-G56</f>
        <v>0.9604150986065747</v>
      </c>
      <c r="H68" s="25"/>
      <c r="I68" s="32">
        <f>I44-I56</f>
        <v>9</v>
      </c>
      <c r="J68" s="32">
        <f>J44-J56</f>
        <v>7.875</v>
      </c>
      <c r="K68" s="32">
        <f>K44-K56</f>
        <v>6.7448250000000058</v>
      </c>
      <c r="L68" s="32">
        <f>L44-L56</f>
        <v>5.6093928750000117</v>
      </c>
      <c r="M68" s="32">
        <f>M44-M56</f>
        <v>4.4686208306250137</v>
      </c>
      <c r="N68" s="32">
        <f>N44-N56</f>
        <v>3.3224253956718854</v>
      </c>
      <c r="O68" s="32">
        <f>O44-O56</f>
        <v>2.1707224145855122</v>
      </c>
      <c r="P68" s="32">
        <f>P44-P56</f>
        <v>1.0134270398635294</v>
      </c>
      <c r="Q68" s="32">
        <f>Q44-Q56</f>
        <v>-0.14954627561138523</v>
      </c>
      <c r="R68" s="32">
        <f>R44-R56</f>
        <v>-1.3182837863116674</v>
      </c>
      <c r="S68" s="32">
        <f>S44-S56</f>
        <v>-2.4928724618792018</v>
      </c>
      <c r="T68" s="32">
        <f>T44-T56</f>
        <v>-3.6733999950138951</v>
      </c>
      <c r="U68" s="32">
        <f>U44-U56</f>
        <v>-4.8599548094373688</v>
      </c>
      <c r="V68" s="32">
        <f>V44-V56</f>
        <v>-6.0526260679327066</v>
      </c>
      <c r="W68" s="32">
        <f>W44-W56</f>
        <v>-7.2515036804610133</v>
      </c>
    </row>
    <row r="69" spans="2:23">
      <c r="C69" s="21" t="str">
        <f>Inputs!$C$29</f>
        <v>NL-OW1</v>
      </c>
      <c r="D69" s="21" t="str">
        <f>Inputs!$D$29</f>
        <v>Netherlands</v>
      </c>
      <c r="E69" s="21" t="str">
        <f>Inputs!$E$29</f>
        <v>Offshore wind</v>
      </c>
      <c r="F69" s="6" t="s">
        <v>14</v>
      </c>
      <c r="G69" s="18">
        <f>G45-G57</f>
        <v>-8.9714014771090973</v>
      </c>
      <c r="I69" s="31">
        <f>I45-I57</f>
        <v>0</v>
      </c>
      <c r="J69" s="31">
        <f>J45-J57</f>
        <v>-1.1999999999999886</v>
      </c>
      <c r="K69" s="31">
        <f>K45-K57</f>
        <v>-2.4179999999999779</v>
      </c>
      <c r="L69" s="31">
        <f>L45-L57</f>
        <v>-3.6542699999999684</v>
      </c>
      <c r="M69" s="31">
        <f>M45-M57</f>
        <v>-4.9090840499999615</v>
      </c>
      <c r="N69" s="31">
        <f>N45-N57</f>
        <v>-6.1827203107499429</v>
      </c>
      <c r="O69" s="31">
        <f>O45-O57</f>
        <v>-7.4754611154111785</v>
      </c>
      <c r="P69" s="31">
        <f>P45-P57</f>
        <v>-8.7875930321423255</v>
      </c>
      <c r="Q69" s="31">
        <f>Q45-Q57</f>
        <v>-10.119406927624453</v>
      </c>
      <c r="R69" s="31">
        <f>R45-R57</f>
        <v>-11.471198031538819</v>
      </c>
      <c r="S69" s="31">
        <f>S45-S57</f>
        <v>-12.843266002011887</v>
      </c>
      <c r="T69" s="31">
        <f>T45-T57</f>
        <v>-14.235914992042055</v>
      </c>
      <c r="U69" s="31">
        <f>U45-U57</f>
        <v>-15.649453716922665</v>
      </c>
      <c r="V69" s="31">
        <f>V45-V57</f>
        <v>-17.084195522676495</v>
      </c>
      <c r="W69" s="31">
        <f>W45-W57</f>
        <v>-18.540458455516614</v>
      </c>
    </row>
    <row r="70" spans="2:23">
      <c r="C70" s="22" t="str">
        <f>Inputs!$C$30</f>
        <v>PL-WN1</v>
      </c>
      <c r="D70" s="22" t="str">
        <f>Inputs!$D$30</f>
        <v>Poland</v>
      </c>
      <c r="E70" s="22" t="str">
        <f>Inputs!$E$30</f>
        <v>Onshore wind</v>
      </c>
      <c r="F70" s="23" t="s">
        <v>14</v>
      </c>
      <c r="G70" s="30">
        <f>G46-G58</f>
        <v>4.4102332910701847</v>
      </c>
      <c r="H70" s="25"/>
      <c r="I70" s="32">
        <f>I46-I58</f>
        <v>20.5</v>
      </c>
      <c r="J70" s="32">
        <f>J46-J58</f>
        <v>18.142499999999998</v>
      </c>
      <c r="K70" s="32">
        <f>K46-K58</f>
        <v>15.799862500000003</v>
      </c>
      <c r="L70" s="32">
        <f>L46-L58</f>
        <v>13.471659562500008</v>
      </c>
      <c r="M70" s="32">
        <f>M46-M58</f>
        <v>11.157467619062487</v>
      </c>
      <c r="N70" s="32">
        <f>N46-N58</f>
        <v>8.8568673842765691</v>
      </c>
      <c r="O70" s="32">
        <f>O46-O58</f>
        <v>6.5694437708073963</v>
      </c>
      <c r="P70" s="32">
        <f>P46-P58</f>
        <v>4.2947858055132713</v>
      </c>
      <c r="Q70" s="32">
        <f>Q46-Q58</f>
        <v>2.0324865466111817</v>
      </c>
      <c r="R70" s="32">
        <f>R46-R58</f>
        <v>-0.21785699812556913</v>
      </c>
      <c r="S70" s="32">
        <f>S46-S58</f>
        <v>-2.4566439521566252</v>
      </c>
      <c r="T70" s="32">
        <f>T46-T58</f>
        <v>-4.6842696499672201</v>
      </c>
      <c r="U70" s="32">
        <f>U46-U58</f>
        <v>-6.9011257158816193</v>
      </c>
      <c r="V70" s="32">
        <f>V46-V58</f>
        <v>-9.1076001419139345</v>
      </c>
      <c r="W70" s="32">
        <f>W46-W58</f>
        <v>-11.304077364673475</v>
      </c>
    </row>
    <row r="71" spans="2:23">
      <c r="C71" s="21" t="str">
        <f>Inputs!$C$31</f>
        <v>SE-WN1</v>
      </c>
      <c r="D71" s="21" t="str">
        <f>Inputs!$D$31</f>
        <v>Sweden (SE3)</v>
      </c>
      <c r="E71" s="21" t="str">
        <f>Inputs!$E$31</f>
        <v>Onshore wind</v>
      </c>
      <c r="F71" s="6" t="s">
        <v>14</v>
      </c>
      <c r="G71" s="18">
        <f>G47-G59</f>
        <v>7.9770932640503318</v>
      </c>
      <c r="I71" s="31">
        <f>I47-I59</f>
        <v>9</v>
      </c>
      <c r="J71" s="31">
        <f>J47-J59</f>
        <v>8.8649999999999949</v>
      </c>
      <c r="K71" s="31">
        <f>K47-K59</f>
        <v>8.7275249999999929</v>
      </c>
      <c r="L71" s="31">
        <f>L47-L59</f>
        <v>8.5875446249999854</v>
      </c>
      <c r="M71" s="31">
        <f>M47-M59</f>
        <v>8.4450281681249706</v>
      </c>
      <c r="N71" s="31">
        <f>N47-N59</f>
        <v>8.2999445871655908</v>
      </c>
      <c r="O71" s="31">
        <f>O47-O59</f>
        <v>8.1522625010834062</v>
      </c>
      <c r="P71" s="31">
        <f>P47-P59</f>
        <v>8.0019501864806486</v>
      </c>
      <c r="Q71" s="31">
        <f>Q47-Q59</f>
        <v>7.8489755740337728</v>
      </c>
      <c r="R71" s="31">
        <f>R47-R59</f>
        <v>7.6933062448908842</v>
      </c>
      <c r="S71" s="31">
        <f>S47-S59</f>
        <v>7.5349094270321402</v>
      </c>
      <c r="T71" s="31">
        <f>T47-T59</f>
        <v>7.3737519915932879</v>
      </c>
      <c r="U71" s="31">
        <f>U47-U59</f>
        <v>7.20980044915148</v>
      </c>
      <c r="V71" s="31">
        <f>V47-V59</f>
        <v>7.0430209459734812</v>
      </c>
      <c r="W71" s="31">
        <f>W47-W59</f>
        <v>6.8733792602253416</v>
      </c>
    </row>
    <row r="72" spans="2:23">
      <c r="C72" s="22" t="str">
        <f>Inputs!$C$32</f>
        <v>FI-WN1</v>
      </c>
      <c r="D72" s="22" t="str">
        <f>Inputs!$D$32</f>
        <v>Finland</v>
      </c>
      <c r="E72" s="22" t="str">
        <f>Inputs!$E$32</f>
        <v>Onshore wind</v>
      </c>
      <c r="F72" s="23" t="s">
        <v>14</v>
      </c>
      <c r="G72" s="30">
        <f>G48-G60</f>
        <v>1.2036915805471295</v>
      </c>
      <c r="H72" s="25"/>
      <c r="I72" s="32">
        <f>I48-I60</f>
        <v>7</v>
      </c>
      <c r="J72" s="32">
        <f>J48-J60</f>
        <v>6.1699999999999946</v>
      </c>
      <c r="K72" s="32">
        <f>K48-K60</f>
        <v>5.3406999999999982</v>
      </c>
      <c r="L72" s="32">
        <f>L48-L60</f>
        <v>4.5120170000000002</v>
      </c>
      <c r="M72" s="32">
        <f>M48-M60</f>
        <v>3.6838680699999955</v>
      </c>
      <c r="N72" s="32">
        <f>N48-N60</f>
        <v>2.8561703416999933</v>
      </c>
      <c r="O72" s="32">
        <f>O48-O60</f>
        <v>2.0288410002069881</v>
      </c>
      <c r="P72" s="32">
        <f>P48-P60</f>
        <v>1.2017972757481701</v>
      </c>
      <c r="Q72" s="32">
        <f>Q48-Q60</f>
        <v>0.37495643538935042</v>
      </c>
      <c r="R72" s="32">
        <f>R48-R60</f>
        <v>-0.45176422524188808</v>
      </c>
      <c r="S72" s="32">
        <f>S48-S60</f>
        <v>-1.2784473902295872</v>
      </c>
      <c r="T72" s="32">
        <f>T48-T60</f>
        <v>-2.1051757316397968</v>
      </c>
      <c r="U72" s="32">
        <f>U48-U60</f>
        <v>-2.9320319177890397</v>
      </c>
      <c r="V72" s="32">
        <f>V48-V60</f>
        <v>-3.7590986215114555</v>
      </c>
      <c r="W72" s="32">
        <f>W48-W60</f>
        <v>-4.5864585284256378</v>
      </c>
    </row>
    <row r="74" spans="2:23">
      <c r="B74" s="70">
        <f>+B62+1</f>
        <v>7</v>
      </c>
      <c r="C74" s="70" t="s">
        <v>112</v>
      </c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</row>
    <row r="75" spans="2:23">
      <c r="C75" s="21" t="str">
        <f>Inputs!$C$23</f>
        <v>ES-PV1</v>
      </c>
      <c r="D75" s="21" t="str">
        <f>Inputs!$D$23</f>
        <v>Spain</v>
      </c>
      <c r="E75" s="21" t="str">
        <f>Inputs!$E$23</f>
        <v>Solar PV</v>
      </c>
      <c r="F75" s="6" t="s">
        <v>16</v>
      </c>
      <c r="G75" s="16">
        <f>SUM(I75:W75)</f>
        <v>129552.57186550424</v>
      </c>
      <c r="I75" s="20">
        <f>I15*I39/1000</f>
        <v>9576.9575999999997</v>
      </c>
      <c r="J75" s="20">
        <f>J15*J39/1000</f>
        <v>9433.7820838799998</v>
      </c>
      <c r="K75" s="20">
        <f>K15*K39/1000</f>
        <v>9292.7470417259938</v>
      </c>
      <c r="L75" s="20">
        <f>L15*L39/1000</f>
        <v>9153.8204734521878</v>
      </c>
      <c r="M75" s="20">
        <f>M15*M39/1000</f>
        <v>9016.9708573740791</v>
      </c>
      <c r="N75" s="20">
        <f>N15*N39/1000</f>
        <v>8882.1671430563365</v>
      </c>
      <c r="O75" s="20">
        <f>O15*O39/1000</f>
        <v>8749.3787442676439</v>
      </c>
      <c r="P75" s="20">
        <f>P15*P39/1000</f>
        <v>8618.5755320408443</v>
      </c>
      <c r="Q75" s="20">
        <f>Q15*Q39/1000</f>
        <v>8489.727827836834</v>
      </c>
      <c r="R75" s="20">
        <f>R15*R39/1000</f>
        <v>8362.8063968106708</v>
      </c>
      <c r="S75" s="20">
        <f>S15*S39/1000</f>
        <v>8237.7824411783513</v>
      </c>
      <c r="T75" s="20">
        <f>T15*T39/1000</f>
        <v>8114.6275936827351</v>
      </c>
      <c r="U75" s="20">
        <f>U15*U39/1000</f>
        <v>7993.3139111571782</v>
      </c>
      <c r="V75" s="20">
        <f>V15*V39/1000</f>
        <v>7873.8138681853779</v>
      </c>
      <c r="W75" s="20">
        <f>W15*W39/1000</f>
        <v>7756.1003508560079</v>
      </c>
    </row>
    <row r="76" spans="2:23">
      <c r="C76" s="22" t="str">
        <f>Inputs!$C$24</f>
        <v>PT-PV1</v>
      </c>
      <c r="D76" s="22" t="str">
        <f>Inputs!$D$24</f>
        <v>Portugal</v>
      </c>
      <c r="E76" s="22" t="str">
        <f>Inputs!$E$24</f>
        <v>Solar PV</v>
      </c>
      <c r="F76" s="23" t="s">
        <v>16</v>
      </c>
      <c r="G76" s="24">
        <f>SUM(I76:W76)</f>
        <v>89586.872592357933</v>
      </c>
      <c r="H76" s="25"/>
      <c r="I76" s="33">
        <f>I16*I40/1000</f>
        <v>6622.56</v>
      </c>
      <c r="J76" s="33">
        <f>J16*J40/1000</f>
        <v>6523.5527280000006</v>
      </c>
      <c r="K76" s="33">
        <f>K16*K40/1000</f>
        <v>6426.0256147164</v>
      </c>
      <c r="L76" s="33">
        <f>L16*L40/1000</f>
        <v>6329.9565317763891</v>
      </c>
      <c r="M76" s="33">
        <f>M16*M40/1000</f>
        <v>6235.3236816263325</v>
      </c>
      <c r="N76" s="33">
        <f>N16*N40/1000</f>
        <v>6142.1055925860201</v>
      </c>
      <c r="O76" s="33">
        <f>O16*O40/1000</f>
        <v>6050.2811139768583</v>
      </c>
      <c r="P76" s="33">
        <f>P16*P40/1000</f>
        <v>5959.829411322904</v>
      </c>
      <c r="Q76" s="33">
        <f>Q16*Q40/1000</f>
        <v>5870.729961623626</v>
      </c>
      <c r="R76" s="33">
        <f>R16*R40/1000</f>
        <v>5782.9625486973528</v>
      </c>
      <c r="S76" s="33">
        <f>S16*S40/1000</f>
        <v>5696.5072585943281</v>
      </c>
      <c r="T76" s="33">
        <f>T16*T40/1000</f>
        <v>5611.3444750783419</v>
      </c>
      <c r="U76" s="33">
        <f>U16*U40/1000</f>
        <v>5527.4548751759221</v>
      </c>
      <c r="V76" s="33">
        <f>V16*V40/1000</f>
        <v>5444.819424792041</v>
      </c>
      <c r="W76" s="33">
        <f>W16*W40/1000</f>
        <v>5363.4193743914011</v>
      </c>
    </row>
    <row r="77" spans="2:23">
      <c r="C77" s="21" t="str">
        <f>Inputs!$C$25</f>
        <v>IT-PV1</v>
      </c>
      <c r="D77" s="21" t="str">
        <f>Inputs!$D$25</f>
        <v>Italy (Sud)</v>
      </c>
      <c r="E77" s="21" t="str">
        <f>Inputs!$E$25</f>
        <v>Solar PV</v>
      </c>
      <c r="F77" s="6" t="s">
        <v>16</v>
      </c>
      <c r="G77" s="16">
        <f>SUM(I77:W77)</f>
        <v>162793.18415385156</v>
      </c>
      <c r="I77" s="20">
        <f>I17*I41/1000</f>
        <v>13749.695999999998</v>
      </c>
      <c r="J77" s="20">
        <f>J17*J41/1000</f>
        <v>13270.519094399999</v>
      </c>
      <c r="K77" s="20">
        <f>K17*K41/1000</f>
        <v>12808.041503960159</v>
      </c>
      <c r="L77" s="20">
        <f>L17*L41/1000</f>
        <v>12361.681257547145</v>
      </c>
      <c r="M77" s="20">
        <f>M17*M41/1000</f>
        <v>11930.876665721629</v>
      </c>
      <c r="N77" s="20">
        <f>N17*N41/1000</f>
        <v>11515.085613921228</v>
      </c>
      <c r="O77" s="20">
        <f>O17*O41/1000</f>
        <v>11113.784880276075</v>
      </c>
      <c r="P77" s="20">
        <f>P17*P41/1000</f>
        <v>10726.469477198454</v>
      </c>
      <c r="Q77" s="20">
        <f>Q17*Q41/1000</f>
        <v>10352.652015918087</v>
      </c>
      <c r="R77" s="20">
        <f>R17*R41/1000</f>
        <v>9991.8620931633395</v>
      </c>
      <c r="S77" s="20">
        <f>S17*S41/1000</f>
        <v>9643.6456992166004</v>
      </c>
      <c r="T77" s="20">
        <f>T17*T41/1000</f>
        <v>9307.5646465988993</v>
      </c>
      <c r="U77" s="20">
        <f>U17*U41/1000</f>
        <v>8983.1960186649285</v>
      </c>
      <c r="V77" s="20">
        <f>V17*V41/1000</f>
        <v>8670.1316374144571</v>
      </c>
      <c r="W77" s="20">
        <f>W17*W41/1000</f>
        <v>8367.9775498505642</v>
      </c>
    </row>
    <row r="78" spans="2:23">
      <c r="C78" s="22" t="str">
        <f>Inputs!$C$26</f>
        <v>GR-PV1</v>
      </c>
      <c r="D78" s="22" t="str">
        <f>Inputs!$D$26</f>
        <v>Greece</v>
      </c>
      <c r="E78" s="22" t="str">
        <f>Inputs!$E$26</f>
        <v>Solar PV</v>
      </c>
      <c r="F78" s="23" t="s">
        <v>16</v>
      </c>
      <c r="G78" s="24">
        <f>SUM(I78:W78)</f>
        <v>153891.92209077923</v>
      </c>
      <c r="H78" s="25"/>
      <c r="I78" s="33">
        <f>I18*I42/1000</f>
        <v>12167.64</v>
      </c>
      <c r="J78" s="33">
        <f>J18*J42/1000</f>
        <v>11864.665763999999</v>
      </c>
      <c r="K78" s="33">
        <f>K18*K42/1000</f>
        <v>11569.235586476399</v>
      </c>
      <c r="L78" s="33">
        <f>L18*L42/1000</f>
        <v>11281.161620373137</v>
      </c>
      <c r="M78" s="33">
        <f>M18*M42/1000</f>
        <v>11000.260696025847</v>
      </c>
      <c r="N78" s="33">
        <f>N18*N42/1000</f>
        <v>10726.354204694802</v>
      </c>
      <c r="O78" s="33">
        <f>O18*O42/1000</f>
        <v>10459.267984997899</v>
      </c>
      <c r="P78" s="33">
        <f>P18*P42/1000</f>
        <v>10198.832212171452</v>
      </c>
      <c r="Q78" s="33">
        <f>Q18*Q42/1000</f>
        <v>9944.881290088384</v>
      </c>
      <c r="R78" s="33">
        <f>R18*R42/1000</f>
        <v>9697.253745965183</v>
      </c>
      <c r="S78" s="33">
        <f>S18*S42/1000</f>
        <v>9455.7921276906491</v>
      </c>
      <c r="T78" s="33">
        <f>T18*T42/1000</f>
        <v>9220.3429037111509</v>
      </c>
      <c r="U78" s="33">
        <f>U18*U42/1000</f>
        <v>8990.7563654087444</v>
      </c>
      <c r="V78" s="33">
        <f>V18*V42/1000</f>
        <v>8766.886531910066</v>
      </c>
      <c r="W78" s="33">
        <f>W18*W42/1000</f>
        <v>8548.5910572655048</v>
      </c>
    </row>
    <row r="79" spans="2:23">
      <c r="C79" s="21" t="str">
        <f>Inputs!$C$27</f>
        <v>FR-WN1</v>
      </c>
      <c r="D79" s="21" t="str">
        <f>Inputs!$D$27</f>
        <v>France</v>
      </c>
      <c r="E79" s="21" t="str">
        <f>Inputs!$E$27</f>
        <v>Onshore wind</v>
      </c>
      <c r="F79" s="6" t="s">
        <v>16</v>
      </c>
      <c r="G79" s="16">
        <f>SUM(I79:W79)</f>
        <v>133253.32063439221</v>
      </c>
      <c r="I79" s="20">
        <f>I19*I43/1000</f>
        <v>8278.2000000000007</v>
      </c>
      <c r="J79" s="20">
        <f>J19*J43/1000</f>
        <v>8360.982</v>
      </c>
      <c r="K79" s="20">
        <f>K19*K43/1000</f>
        <v>8444.5918199999996</v>
      </c>
      <c r="L79" s="20">
        <f>L19*L43/1000</f>
        <v>8529.0377381999988</v>
      </c>
      <c r="M79" s="20">
        <f>M19*M43/1000</f>
        <v>8614.3281155820005</v>
      </c>
      <c r="N79" s="20">
        <f>N19*N43/1000</f>
        <v>8700.4713967378193</v>
      </c>
      <c r="O79" s="20">
        <f>O19*O43/1000</f>
        <v>8787.4761107051982</v>
      </c>
      <c r="P79" s="20">
        <f>P19*P43/1000</f>
        <v>8875.3508718122484</v>
      </c>
      <c r="Q79" s="20">
        <f>Q19*Q43/1000</f>
        <v>8964.1043805303743</v>
      </c>
      <c r="R79" s="20">
        <f>R19*R43/1000</f>
        <v>9053.7454243356788</v>
      </c>
      <c r="S79" s="20">
        <f>S19*S43/1000</f>
        <v>9144.2828785790334</v>
      </c>
      <c r="T79" s="20">
        <f>T19*T43/1000</f>
        <v>9235.7257073648234</v>
      </c>
      <c r="U79" s="20">
        <f>U19*U43/1000</f>
        <v>9328.0829644384721</v>
      </c>
      <c r="V79" s="20">
        <f>V19*V43/1000</f>
        <v>9421.3637940828557</v>
      </c>
      <c r="W79" s="20">
        <f>W19*W43/1000</f>
        <v>9515.5774320236869</v>
      </c>
    </row>
    <row r="80" spans="2:23">
      <c r="C80" s="22" t="str">
        <f>Inputs!$C$28</f>
        <v>DE-WN1</v>
      </c>
      <c r="D80" s="22" t="str">
        <f>Inputs!$D$28</f>
        <v>Germany</v>
      </c>
      <c r="E80" s="22" t="str">
        <f>Inputs!$E$28</f>
        <v>Onshore wind</v>
      </c>
      <c r="F80" s="23" t="s">
        <v>16</v>
      </c>
      <c r="G80" s="24">
        <f>SUM(I80:W80)</f>
        <v>160349.78695403386</v>
      </c>
      <c r="H80" s="25"/>
      <c r="I80" s="33">
        <f>I20*I44/1000</f>
        <v>11069.136</v>
      </c>
      <c r="J80" s="33">
        <f>J20*J44/1000</f>
        <v>11013.79032</v>
      </c>
      <c r="K80" s="33">
        <f>K20*K44/1000</f>
        <v>10958.7213684</v>
      </c>
      <c r="L80" s="33">
        <f>L20*L44/1000</f>
        <v>10903.927761557999</v>
      </c>
      <c r="M80" s="33">
        <f>M20*M44/1000</f>
        <v>10849.408122750212</v>
      </c>
      <c r="N80" s="33">
        <f>N20*N44/1000</f>
        <v>10795.161082136459</v>
      </c>
      <c r="O80" s="33">
        <f>O20*O44/1000</f>
        <v>10741.185276725777</v>
      </c>
      <c r="P80" s="33">
        <f>P20*P44/1000</f>
        <v>10687.47935034215</v>
      </c>
      <c r="Q80" s="33">
        <f>Q20*Q44/1000</f>
        <v>10634.041953590438</v>
      </c>
      <c r="R80" s="33">
        <f>R20*R44/1000</f>
        <v>10580.871743822485</v>
      </c>
      <c r="S80" s="33">
        <f>S20*S44/1000</f>
        <v>10527.967385103375</v>
      </c>
      <c r="T80" s="33">
        <f>T20*T44/1000</f>
        <v>10475.327548177856</v>
      </c>
      <c r="U80" s="33">
        <f>U20*U44/1000</f>
        <v>10422.95091043697</v>
      </c>
      <c r="V80" s="33">
        <f>V20*V44/1000</f>
        <v>10370.836155884785</v>
      </c>
      <c r="W80" s="33">
        <f>W20*W44/1000</f>
        <v>10318.98197510536</v>
      </c>
    </row>
    <row r="81" spans="2:23">
      <c r="C81" s="21" t="str">
        <f>Inputs!$C$29</f>
        <v>NL-OW1</v>
      </c>
      <c r="D81" s="21" t="str">
        <f>Inputs!$D$29</f>
        <v>Netherlands</v>
      </c>
      <c r="E81" s="21" t="str">
        <f>Inputs!$E$29</f>
        <v>Offshore wind</v>
      </c>
      <c r="F81" s="6" t="s">
        <v>16</v>
      </c>
      <c r="G81" s="16">
        <f>SUM(I81:W81)</f>
        <v>198676.79999999996</v>
      </c>
      <c r="I81" s="20">
        <f>I21*I45/1000</f>
        <v>13245.12</v>
      </c>
      <c r="J81" s="20">
        <f>J21*J45/1000</f>
        <v>13245.12</v>
      </c>
      <c r="K81" s="20">
        <f>K21*K45/1000</f>
        <v>13245.12</v>
      </c>
      <c r="L81" s="20">
        <f>L21*L45/1000</f>
        <v>13245.12</v>
      </c>
      <c r="M81" s="20">
        <f>M21*M45/1000</f>
        <v>13245.12</v>
      </c>
      <c r="N81" s="20">
        <f>N21*N45/1000</f>
        <v>13245.12</v>
      </c>
      <c r="O81" s="20">
        <f>O21*O45/1000</f>
        <v>13245.12</v>
      </c>
      <c r="P81" s="20">
        <f>P21*P45/1000</f>
        <v>13245.12</v>
      </c>
      <c r="Q81" s="20">
        <f>Q21*Q45/1000</f>
        <v>13245.12</v>
      </c>
      <c r="R81" s="20">
        <f>R21*R45/1000</f>
        <v>13245.12</v>
      </c>
      <c r="S81" s="20">
        <f>S21*S45/1000</f>
        <v>13245.12</v>
      </c>
      <c r="T81" s="20">
        <f>T21*T45/1000</f>
        <v>13245.12</v>
      </c>
      <c r="U81" s="20">
        <f>U21*U45/1000</f>
        <v>13245.12</v>
      </c>
      <c r="V81" s="20">
        <f>V21*V45/1000</f>
        <v>13245.12</v>
      </c>
      <c r="W81" s="20">
        <f>W21*W45/1000</f>
        <v>13245.12</v>
      </c>
    </row>
    <row r="82" spans="2:23">
      <c r="C82" s="22" t="str">
        <f>Inputs!$C$30</f>
        <v>PL-WN1</v>
      </c>
      <c r="D82" s="22" t="str">
        <f>Inputs!$D$30</f>
        <v>Poland</v>
      </c>
      <c r="E82" s="22" t="str">
        <f>Inputs!$E$30</f>
        <v>Onshore wind</v>
      </c>
      <c r="F82" s="23" t="s">
        <v>16</v>
      </c>
      <c r="G82" s="24">
        <f>SUM(I82:W82)</f>
        <v>200346.73983364188</v>
      </c>
      <c r="H82" s="25"/>
      <c r="I82" s="33">
        <f>I22*I46/1000</f>
        <v>14815.35</v>
      </c>
      <c r="J82" s="33">
        <f>J22*J46/1000</f>
        <v>14593.11975</v>
      </c>
      <c r="K82" s="33">
        <f>K22*K46/1000</f>
        <v>14374.222953750001</v>
      </c>
      <c r="L82" s="33">
        <f>L22*L46/1000</f>
        <v>14158.609609443751</v>
      </c>
      <c r="M82" s="33">
        <f>M22*M46/1000</f>
        <v>13946.230465302093</v>
      </c>
      <c r="N82" s="33">
        <f>N22*N46/1000</f>
        <v>13737.037008322563</v>
      </c>
      <c r="O82" s="33">
        <f>O22*O46/1000</f>
        <v>13530.981453197723</v>
      </c>
      <c r="P82" s="33">
        <f>P22*P46/1000</f>
        <v>13328.016731399757</v>
      </c>
      <c r="Q82" s="33">
        <f>Q22*Q46/1000</f>
        <v>13128.096480428763</v>
      </c>
      <c r="R82" s="33">
        <f>R22*R46/1000</f>
        <v>12931.175033222329</v>
      </c>
      <c r="S82" s="33">
        <f>S22*S46/1000</f>
        <v>12737.207407723994</v>
      </c>
      <c r="T82" s="33">
        <f>T22*T46/1000</f>
        <v>12546.149296608135</v>
      </c>
      <c r="U82" s="33">
        <f>U22*U46/1000</f>
        <v>12357.957057159014</v>
      </c>
      <c r="V82" s="33">
        <f>V22*V46/1000</f>
        <v>12172.587701301629</v>
      </c>
      <c r="W82" s="33">
        <f>W22*W46/1000</f>
        <v>11989.998885782104</v>
      </c>
    </row>
    <row r="83" spans="2:23">
      <c r="C83" s="21" t="str">
        <f>Inputs!$C$31</f>
        <v>SE-WN1</v>
      </c>
      <c r="D83" s="21" t="str">
        <f>Inputs!$D$31</f>
        <v>Sweden (SE3)</v>
      </c>
      <c r="E83" s="21" t="str">
        <f>Inputs!$E$31</f>
        <v>Onshore wind</v>
      </c>
      <c r="F83" s="6" t="s">
        <v>16</v>
      </c>
      <c r="G83" s="16">
        <f>SUM(I83:W83)</f>
        <v>121265.23922260085</v>
      </c>
      <c r="I83" s="20">
        <f>I23*I47/1000</f>
        <v>7805.16</v>
      </c>
      <c r="J83" s="20">
        <f>J23*J47/1000</f>
        <v>7844.1857999999993</v>
      </c>
      <c r="K83" s="20">
        <f>K23*K47/1000</f>
        <v>7883.4067289999984</v>
      </c>
      <c r="L83" s="20">
        <f>L23*L47/1000</f>
        <v>7922.8237626449973</v>
      </c>
      <c r="M83" s="20">
        <f>M23*M47/1000</f>
        <v>7962.4378814582187</v>
      </c>
      <c r="N83" s="20">
        <f>N23*N47/1000</f>
        <v>8002.2500708655098</v>
      </c>
      <c r="O83" s="20">
        <f>O23*O47/1000</f>
        <v>8042.2613212198366</v>
      </c>
      <c r="P83" s="20">
        <f>P23*P47/1000</f>
        <v>8082.4726278259341</v>
      </c>
      <c r="Q83" s="20">
        <f>Q23*Q47/1000</f>
        <v>8122.8849909650626</v>
      </c>
      <c r="R83" s="20">
        <f>R23*R47/1000</f>
        <v>8163.4994159198886</v>
      </c>
      <c r="S83" s="20">
        <f>S23*S47/1000</f>
        <v>8204.3169129994858</v>
      </c>
      <c r="T83" s="20">
        <f>T23*T47/1000</f>
        <v>8245.3384975644822</v>
      </c>
      <c r="U83" s="20">
        <f>U23*U47/1000</f>
        <v>8286.5651900523026</v>
      </c>
      <c r="V83" s="20">
        <f>V23*V47/1000</f>
        <v>8327.9980160025625</v>
      </c>
      <c r="W83" s="20">
        <f>W23*W47/1000</f>
        <v>8369.6380060825741</v>
      </c>
    </row>
    <row r="84" spans="2:23">
      <c r="C84" s="22" t="str">
        <f>Inputs!$C$32</f>
        <v>FI-WN1</v>
      </c>
      <c r="D84" s="22" t="str">
        <f>Inputs!$D$32</f>
        <v>Finland</v>
      </c>
      <c r="E84" s="22" t="str">
        <f>Inputs!$E$32</f>
        <v>Onshore wind</v>
      </c>
      <c r="F84" s="23" t="s">
        <v>16</v>
      </c>
      <c r="G84" s="24">
        <f>SUM(I84:W84)</f>
        <v>96538.744050707086</v>
      </c>
      <c r="H84" s="25"/>
      <c r="I84" s="33">
        <f>I24*I48/1000</f>
        <v>6898.5</v>
      </c>
      <c r="J84" s="33">
        <f>J24*J48/1000</f>
        <v>6829.5150000000003</v>
      </c>
      <c r="K84" s="33">
        <f>K24*K48/1000</f>
        <v>6761.2198500000004</v>
      </c>
      <c r="L84" s="33">
        <f>L24*L48/1000</f>
        <v>6693.6076514999995</v>
      </c>
      <c r="M84" s="33">
        <f>M24*M48/1000</f>
        <v>6626.6715749849991</v>
      </c>
      <c r="N84" s="33">
        <f>N24*N48/1000</f>
        <v>6560.4048592351492</v>
      </c>
      <c r="O84" s="33">
        <f>O24*O48/1000</f>
        <v>6494.8008106427978</v>
      </c>
      <c r="P84" s="33">
        <f>P24*P48/1000</f>
        <v>6429.8528025363703</v>
      </c>
      <c r="Q84" s="33">
        <f>Q24*Q48/1000</f>
        <v>6365.554274511007</v>
      </c>
      <c r="R84" s="33">
        <f>R24*R48/1000</f>
        <v>6301.8987317658957</v>
      </c>
      <c r="S84" s="33">
        <f>S24*S48/1000</f>
        <v>6238.879744448237</v>
      </c>
      <c r="T84" s="33">
        <f>T24*T48/1000</f>
        <v>6176.4909470037537</v>
      </c>
      <c r="U84" s="33">
        <f>U24*U48/1000</f>
        <v>6114.7260375337164</v>
      </c>
      <c r="V84" s="33">
        <f>V24*V48/1000</f>
        <v>6053.5787771583782</v>
      </c>
      <c r="W84" s="33">
        <f>W24*W48/1000</f>
        <v>5993.0429893867959</v>
      </c>
    </row>
    <row r="86" spans="2:23">
      <c r="B86" s="70">
        <f>+B74+1</f>
        <v>8</v>
      </c>
      <c r="C86" s="70" t="s">
        <v>113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</row>
    <row r="87" spans="2:23">
      <c r="C87" s="21" t="str">
        <f>Inputs!$C$23</f>
        <v>ES-PV1</v>
      </c>
      <c r="D87" s="21" t="str">
        <f>Inputs!$D$23</f>
        <v>Spain</v>
      </c>
      <c r="E87" s="21" t="str">
        <f>Inputs!$E$23</f>
        <v>Solar PV</v>
      </c>
      <c r="F87" s="6" t="s">
        <v>16</v>
      </c>
      <c r="G87" s="16">
        <f>SUM(I87:W87)</f>
        <v>103141.12602313548</v>
      </c>
      <c r="I87" s="20">
        <f>I15*I51/1000</f>
        <v>6640.9560000000001</v>
      </c>
      <c r="J87" s="20">
        <f>J15*J51/1000</f>
        <v>6673.8287322000006</v>
      </c>
      <c r="K87" s="20">
        <f>K15*K51/1000</f>
        <v>6706.8641844243912</v>
      </c>
      <c r="L87" s="20">
        <f>L15*L51/1000</f>
        <v>6740.0631621372904</v>
      </c>
      <c r="M87" s="20">
        <f>M15*M51/1000</f>
        <v>6773.4264747898706</v>
      </c>
      <c r="N87" s="20">
        <f>N15*N51/1000</f>
        <v>6806.9549358400809</v>
      </c>
      <c r="O87" s="20">
        <f>O15*O51/1000</f>
        <v>6840.6493627724913</v>
      </c>
      <c r="P87" s="20">
        <f>P15*P51/1000</f>
        <v>6874.5105771182125</v>
      </c>
      <c r="Q87" s="20">
        <f>Q15*Q51/1000</f>
        <v>6908.5394044749492</v>
      </c>
      <c r="R87" s="20">
        <f>R15*R51/1000</f>
        <v>6942.7366745271001</v>
      </c>
      <c r="S87" s="20">
        <f>S15*S51/1000</f>
        <v>6977.1032210660105</v>
      </c>
      <c r="T87" s="20">
        <f>T15*T51/1000</f>
        <v>7011.639882010285</v>
      </c>
      <c r="U87" s="20">
        <f>U15*U51/1000</f>
        <v>7046.3474994262351</v>
      </c>
      <c r="V87" s="20">
        <f>V15*V51/1000</f>
        <v>7081.2269195483968</v>
      </c>
      <c r="W87" s="20">
        <f>W15*W51/1000</f>
        <v>7116.2789928001621</v>
      </c>
    </row>
    <row r="88" spans="2:23">
      <c r="C88" s="22" t="str">
        <f>Inputs!$C$24</f>
        <v>PT-PV1</v>
      </c>
      <c r="D88" s="22" t="str">
        <f>Inputs!$D$24</f>
        <v>Portugal</v>
      </c>
      <c r="E88" s="22" t="str">
        <f>Inputs!$E$24</f>
        <v>Solar PV</v>
      </c>
      <c r="F88" s="23" t="s">
        <v>16</v>
      </c>
      <c r="G88" s="24">
        <f>SUM(I88:W88)</f>
        <v>76189.197431679015</v>
      </c>
      <c r="H88" s="25"/>
      <c r="I88" s="33">
        <f>I16*I52/1000</f>
        <v>4905.6000000000004</v>
      </c>
      <c r="J88" s="33">
        <f>J16*J52/1000</f>
        <v>4929.8827199999996</v>
      </c>
      <c r="K88" s="33">
        <f>K16*K52/1000</f>
        <v>4954.2856394640012</v>
      </c>
      <c r="L88" s="33">
        <f>L16*L52/1000</f>
        <v>4978.8093533793462</v>
      </c>
      <c r="M88" s="33">
        <f>M16*M52/1000</f>
        <v>5003.4544596785754</v>
      </c>
      <c r="N88" s="33">
        <f>N16*N52/1000</f>
        <v>5028.2215592539842</v>
      </c>
      <c r="O88" s="33">
        <f>O16*O52/1000</f>
        <v>5053.1112559722924</v>
      </c>
      <c r="P88" s="33">
        <f>P16*P52/1000</f>
        <v>5078.1241566893523</v>
      </c>
      <c r="Q88" s="33">
        <f>Q16*Q52/1000</f>
        <v>5103.2608712649671</v>
      </c>
      <c r="R88" s="33">
        <f>R16*R52/1000</f>
        <v>5128.5220125777287</v>
      </c>
      <c r="S88" s="33">
        <f>S16*S52/1000</f>
        <v>5153.9081965399891</v>
      </c>
      <c r="T88" s="33">
        <f>T16*T52/1000</f>
        <v>5179.4200421128598</v>
      </c>
      <c r="U88" s="33">
        <f>U16*U52/1000</f>
        <v>5205.0581713213205</v>
      </c>
      <c r="V88" s="33">
        <f>V16*V52/1000</f>
        <v>5230.8232092693606</v>
      </c>
      <c r="W88" s="33">
        <f>W16*W52/1000</f>
        <v>5256.7157841552453</v>
      </c>
    </row>
    <row r="89" spans="2:23">
      <c r="C89" s="21" t="str">
        <f>Inputs!$C$25</f>
        <v>IT-PV1</v>
      </c>
      <c r="D89" s="21" t="str">
        <f>Inputs!$D$25</f>
        <v>Italy (Sud)</v>
      </c>
      <c r="E89" s="21" t="str">
        <f>Inputs!$E$25</f>
        <v>Solar PV</v>
      </c>
      <c r="F89" s="6" t="s">
        <v>16</v>
      </c>
      <c r="G89" s="16">
        <f>SUM(I89:W89)</f>
        <v>142533.14395914122</v>
      </c>
      <c r="I89" s="20">
        <f>I17*I53/1000</f>
        <v>9839.2319999999982</v>
      </c>
      <c r="J89" s="20">
        <f>J17*J53/1000</f>
        <v>9790.0358399999986</v>
      </c>
      <c r="K89" s="20">
        <f>K17*K53/1000</f>
        <v>9741.0856607999995</v>
      </c>
      <c r="L89" s="20">
        <f>L17*L53/1000</f>
        <v>9692.3802324959997</v>
      </c>
      <c r="M89" s="20">
        <f>M17*M53/1000</f>
        <v>9643.9183313335197</v>
      </c>
      <c r="N89" s="20">
        <f>N17*N53/1000</f>
        <v>9595.6987396768509</v>
      </c>
      <c r="O89" s="20">
        <f>O17*O53/1000</f>
        <v>9547.7202459784676</v>
      </c>
      <c r="P89" s="20">
        <f>P17*P53/1000</f>
        <v>9499.9816447485755</v>
      </c>
      <c r="Q89" s="20">
        <f>Q17*Q53/1000</f>
        <v>9452.4817365248327</v>
      </c>
      <c r="R89" s="20">
        <f>R17*R53/1000</f>
        <v>9405.2193278422073</v>
      </c>
      <c r="S89" s="20">
        <f>S17*S53/1000</f>
        <v>9358.1932312029967</v>
      </c>
      <c r="T89" s="20">
        <f>T17*T53/1000</f>
        <v>9311.4022650469815</v>
      </c>
      <c r="U89" s="20">
        <f>U17*U53/1000</f>
        <v>9264.8452537217472</v>
      </c>
      <c r="V89" s="20">
        <f>V17*V53/1000</f>
        <v>9218.5210274531401</v>
      </c>
      <c r="W89" s="20">
        <f>W17*W53/1000</f>
        <v>9172.4284223158757</v>
      </c>
    </row>
    <row r="90" spans="2:23">
      <c r="C90" s="22" t="str">
        <f>Inputs!$C$26</f>
        <v>GR-PV1</v>
      </c>
      <c r="D90" s="22" t="str">
        <f>Inputs!$D$26</f>
        <v>Greece</v>
      </c>
      <c r="E90" s="22" t="str">
        <f>Inputs!$E$26</f>
        <v>Solar PV</v>
      </c>
      <c r="F90" s="23" t="s">
        <v>16</v>
      </c>
      <c r="G90" s="24">
        <f>SUM(I90:W90)</f>
        <v>114297.99651711609</v>
      </c>
      <c r="H90" s="25"/>
      <c r="I90" s="33">
        <f>I18*I54/1000</f>
        <v>7621.2</v>
      </c>
      <c r="J90" s="33">
        <f>J18*J54/1000</f>
        <v>7621.0094699999991</v>
      </c>
      <c r="K90" s="33">
        <f>K18*K54/1000</f>
        <v>7620.8189447632476</v>
      </c>
      <c r="L90" s="33">
        <f>L18*L54/1000</f>
        <v>7620.628424289629</v>
      </c>
      <c r="M90" s="33">
        <f>M18*M54/1000</f>
        <v>7620.4379085790197</v>
      </c>
      <c r="N90" s="33">
        <f>N18*N54/1000</f>
        <v>7620.2473976313031</v>
      </c>
      <c r="O90" s="33">
        <f>O18*O54/1000</f>
        <v>7620.0568914463611</v>
      </c>
      <c r="P90" s="33">
        <f>P18*P54/1000</f>
        <v>7619.8663900240745</v>
      </c>
      <c r="Q90" s="33">
        <f>Q18*Q54/1000</f>
        <v>7619.6758933643232</v>
      </c>
      <c r="R90" s="33">
        <f>R18*R54/1000</f>
        <v>7619.4854014669891</v>
      </c>
      <c r="S90" s="33">
        <f>S18*S54/1000</f>
        <v>7619.2949143319511</v>
      </c>
      <c r="T90" s="33">
        <f>T18*T54/1000</f>
        <v>7619.1044319590919</v>
      </c>
      <c r="U90" s="33">
        <f>U18*U54/1000</f>
        <v>7618.9139543482906</v>
      </c>
      <c r="V90" s="33">
        <f>V18*V54/1000</f>
        <v>7618.7234814994308</v>
      </c>
      <c r="W90" s="33">
        <f>W18*W54/1000</f>
        <v>7618.5330134123924</v>
      </c>
    </row>
    <row r="91" spans="2:23">
      <c r="C91" s="21" t="str">
        <f>Inputs!$C$27</f>
        <v>FR-WN1</v>
      </c>
      <c r="D91" s="21" t="str">
        <f>Inputs!$D$27</f>
        <v>France</v>
      </c>
      <c r="E91" s="21" t="str">
        <f>Inputs!$E$27</f>
        <v>Onshore wind</v>
      </c>
      <c r="F91" s="6" t="s">
        <v>16</v>
      </c>
      <c r="G91" s="16">
        <f>SUM(I91:W91)</f>
        <v>135368.45270795398</v>
      </c>
      <c r="I91" s="20">
        <f>I19*I55/1000</f>
        <v>8409.6</v>
      </c>
      <c r="J91" s="20">
        <f>J19*J55/1000</f>
        <v>8493.6959999999999</v>
      </c>
      <c r="K91" s="20">
        <f>K19*K55/1000</f>
        <v>8578.6329600000008</v>
      </c>
      <c r="L91" s="20">
        <f>L19*L55/1000</f>
        <v>8664.4192896000004</v>
      </c>
      <c r="M91" s="20">
        <f>M19*M55/1000</f>
        <v>8751.0634824960016</v>
      </c>
      <c r="N91" s="20">
        <f>N19*N55/1000</f>
        <v>8838.574117320959</v>
      </c>
      <c r="O91" s="20">
        <f>O19*O55/1000</f>
        <v>8926.9598584941705</v>
      </c>
      <c r="P91" s="20">
        <f>P19*P55/1000</f>
        <v>9016.2294570791109</v>
      </c>
      <c r="Q91" s="20">
        <f>Q19*Q55/1000</f>
        <v>9106.3917516499023</v>
      </c>
      <c r="R91" s="20">
        <f>R19*R55/1000</f>
        <v>9197.455669166402</v>
      </c>
      <c r="S91" s="20">
        <f>S19*S55/1000</f>
        <v>9289.4302258580683</v>
      </c>
      <c r="T91" s="20">
        <f>T19*T55/1000</f>
        <v>9382.3245281166455</v>
      </c>
      <c r="U91" s="20">
        <f>U19*U55/1000</f>
        <v>9476.1477733978118</v>
      </c>
      <c r="V91" s="20">
        <f>V19*V55/1000</f>
        <v>9570.9092511317922</v>
      </c>
      <c r="W91" s="20">
        <f>W19*W55/1000</f>
        <v>9666.6183436431111</v>
      </c>
    </row>
    <row r="92" spans="2:23">
      <c r="C92" s="22" t="str">
        <f>Inputs!$C$28</f>
        <v>DE-WN1</v>
      </c>
      <c r="D92" s="22" t="str">
        <f>Inputs!$D$28</f>
        <v>Germany</v>
      </c>
      <c r="E92" s="22" t="str">
        <f>Inputs!$E$28</f>
        <v>Onshore wind</v>
      </c>
      <c r="F92" s="23" t="s">
        <v>16</v>
      </c>
      <c r="G92" s="24">
        <f>SUM(I92:W92)</f>
        <v>158381.08966830614</v>
      </c>
      <c r="H92" s="25"/>
      <c r="I92" s="33">
        <f>I20*I56/1000</f>
        <v>9839.232</v>
      </c>
      <c r="J92" s="33">
        <f>J20*J56/1000</f>
        <v>9937.6243200000008</v>
      </c>
      <c r="K92" s="33">
        <f>K20*K56/1000</f>
        <v>10037.000563199999</v>
      </c>
      <c r="L92" s="33">
        <f>L20*L56/1000</f>
        <v>10137.370568831999</v>
      </c>
      <c r="M92" s="33">
        <f>M20*M56/1000</f>
        <v>10238.744274520319</v>
      </c>
      <c r="N92" s="33">
        <f>N20*N56/1000</f>
        <v>10341.131717265522</v>
      </c>
      <c r="O92" s="33">
        <f>O20*O56/1000</f>
        <v>10444.54303443818</v>
      </c>
      <c r="P92" s="33">
        <f>P20*P56/1000</f>
        <v>10548.988464782558</v>
      </c>
      <c r="Q92" s="33">
        <f>Q20*Q56/1000</f>
        <v>10654.478349430387</v>
      </c>
      <c r="R92" s="33">
        <f>R20*R56/1000</f>
        <v>10761.023132924691</v>
      </c>
      <c r="S92" s="33">
        <f>S20*S56/1000</f>
        <v>10868.633364253938</v>
      </c>
      <c r="T92" s="33">
        <f>T20*T56/1000</f>
        <v>10977.319697896475</v>
      </c>
      <c r="U92" s="33">
        <f>U20*U56/1000</f>
        <v>11087.092894875441</v>
      </c>
      <c r="V92" s="33">
        <f>V20*V56/1000</f>
        <v>11197.963823824195</v>
      </c>
      <c r="W92" s="33">
        <f>W20*W56/1000</f>
        <v>11309.94346206244</v>
      </c>
    </row>
    <row r="93" spans="2:23">
      <c r="C93" s="21" t="str">
        <f>Inputs!$C$29</f>
        <v>NL-OW1</v>
      </c>
      <c r="D93" s="21" t="str">
        <f>Inputs!$D$29</f>
        <v>Netherlands</v>
      </c>
      <c r="E93" s="21" t="str">
        <f>Inputs!$E$29</f>
        <v>Offshore wind</v>
      </c>
      <c r="F93" s="6" t="s">
        <v>16</v>
      </c>
      <c r="G93" s="16">
        <f>SUM(I93:W93)</f>
        <v>220956.91671234131</v>
      </c>
      <c r="I93" s="20">
        <f>I21*I57/1000</f>
        <v>13245.12</v>
      </c>
      <c r="J93" s="20">
        <f>J21*J57/1000</f>
        <v>13443.796799999998</v>
      </c>
      <c r="K93" s="20">
        <f>K21*K57/1000</f>
        <v>13645.453751999996</v>
      </c>
      <c r="L93" s="20">
        <f>L21*L57/1000</f>
        <v>13850.135558279995</v>
      </c>
      <c r="M93" s="20">
        <f>M21*M57/1000</f>
        <v>14057.887591654195</v>
      </c>
      <c r="N93" s="20">
        <f>N21*N57/1000</f>
        <v>14268.755905529004</v>
      </c>
      <c r="O93" s="20">
        <f>O21*O57/1000</f>
        <v>14482.787244111936</v>
      </c>
      <c r="P93" s="20">
        <f>P21*P57/1000</f>
        <v>14700.029052773612</v>
      </c>
      <c r="Q93" s="20">
        <f>Q21*Q57/1000</f>
        <v>14920.529488565217</v>
      </c>
      <c r="R93" s="20">
        <f>R21*R57/1000</f>
        <v>15144.337430893693</v>
      </c>
      <c r="S93" s="20">
        <f>S21*S57/1000</f>
        <v>15371.502492357096</v>
      </c>
      <c r="T93" s="20">
        <f>T21*T57/1000</f>
        <v>15602.075029742451</v>
      </c>
      <c r="U93" s="20">
        <f>U21*U57/1000</f>
        <v>15836.106155188585</v>
      </c>
      <c r="V93" s="20">
        <f>V21*V57/1000</f>
        <v>16073.64774751641</v>
      </c>
      <c r="W93" s="20">
        <f>W21*W57/1000</f>
        <v>16314.752463729152</v>
      </c>
    </row>
    <row r="94" spans="2:23">
      <c r="C94" s="22" t="str">
        <f>Inputs!$C$30</f>
        <v>PL-WN1</v>
      </c>
      <c r="D94" s="22" t="str">
        <f>Inputs!$D$30</f>
        <v>Poland</v>
      </c>
      <c r="E94" s="22" t="str">
        <f>Inputs!$E$30</f>
        <v>Onshore wind</v>
      </c>
      <c r="F94" s="23" t="s">
        <v>16</v>
      </c>
      <c r="G94" s="24">
        <f>SUM(I94:W94)</f>
        <v>190784.91303527262</v>
      </c>
      <c r="H94" s="25"/>
      <c r="I94" s="33">
        <f>I22*I58/1000</f>
        <v>11852.28</v>
      </c>
      <c r="J94" s="33">
        <f>J22*J58/1000</f>
        <v>11970.802800000001</v>
      </c>
      <c r="K94" s="33">
        <f>K22*K58/1000</f>
        <v>12090.510828</v>
      </c>
      <c r="L94" s="33">
        <f>L22*L58/1000</f>
        <v>12211.415936279998</v>
      </c>
      <c r="M94" s="33">
        <f>M22*M58/1000</f>
        <v>12333.530095642802</v>
      </c>
      <c r="N94" s="33">
        <f>N22*N58/1000</f>
        <v>12456.865396599227</v>
      </c>
      <c r="O94" s="33">
        <f>O22*O58/1000</f>
        <v>12581.434050565222</v>
      </c>
      <c r="P94" s="33">
        <f>P22*P58/1000</f>
        <v>12707.248391070871</v>
      </c>
      <c r="Q94" s="33">
        <f>Q22*Q58/1000</f>
        <v>12834.320874981582</v>
      </c>
      <c r="R94" s="33">
        <f>R22*R58/1000</f>
        <v>12962.664083731401</v>
      </c>
      <c r="S94" s="33">
        <f>S22*S58/1000</f>
        <v>13092.290724568713</v>
      </c>
      <c r="T94" s="33">
        <f>T22*T58/1000</f>
        <v>13223.213631814398</v>
      </c>
      <c r="U94" s="33">
        <f>U22*U58/1000</f>
        <v>13355.445768132544</v>
      </c>
      <c r="V94" s="33">
        <f>V22*V58/1000</f>
        <v>13489.000225813868</v>
      </c>
      <c r="W94" s="33">
        <f>W22*W58/1000</f>
        <v>13623.890228072009</v>
      </c>
    </row>
    <row r="95" spans="2:23">
      <c r="C95" s="21" t="str">
        <f>Inputs!$C$31</f>
        <v>SE-WN1</v>
      </c>
      <c r="D95" s="21" t="str">
        <f>Inputs!$D$31</f>
        <v>Sweden (SE3)</v>
      </c>
      <c r="E95" s="21" t="str">
        <f>Inputs!$E$31</f>
        <v>Onshore wind</v>
      </c>
      <c r="F95" s="6" t="s">
        <v>16</v>
      </c>
      <c r="G95" s="16">
        <f>SUM(I95:W95)</f>
        <v>100511.07613565582</v>
      </c>
      <c r="I95" s="20">
        <f>I23*I59/1000</f>
        <v>6244.1279999999997</v>
      </c>
      <c r="J95" s="20">
        <f>J23*J59/1000</f>
        <v>6306.5692800000006</v>
      </c>
      <c r="K95" s="20">
        <f>K23*K59/1000</f>
        <v>6369.6349727999996</v>
      </c>
      <c r="L95" s="20">
        <f>L23*L59/1000</f>
        <v>6433.331322527999</v>
      </c>
      <c r="M95" s="20">
        <f>M23*M59/1000</f>
        <v>6497.66463575328</v>
      </c>
      <c r="N95" s="20">
        <f>N23*N59/1000</f>
        <v>6562.6412821108133</v>
      </c>
      <c r="O95" s="20">
        <f>O23*O59/1000</f>
        <v>6628.2676949319211</v>
      </c>
      <c r="P95" s="20">
        <f>P23*P59/1000</f>
        <v>6694.5503718812388</v>
      </c>
      <c r="Q95" s="20">
        <f>Q23*Q59/1000</f>
        <v>6761.4958756000533</v>
      </c>
      <c r="R95" s="20">
        <f>R23*R59/1000</f>
        <v>6829.1108343560545</v>
      </c>
      <c r="S95" s="20">
        <f>S23*S59/1000</f>
        <v>6897.4019426996147</v>
      </c>
      <c r="T95" s="20">
        <f>T23*T59/1000</f>
        <v>6966.3759621266099</v>
      </c>
      <c r="U95" s="20">
        <f>U23*U59/1000</f>
        <v>7036.0397217478758</v>
      </c>
      <c r="V95" s="20">
        <f>V23*V59/1000</f>
        <v>7106.4001189653545</v>
      </c>
      <c r="W95" s="20">
        <f>W23*W59/1000</f>
        <v>7177.4641201550094</v>
      </c>
    </row>
    <row r="96" spans="2:23">
      <c r="C96" s="22" t="str">
        <f>Inputs!$C$32</f>
        <v>FI-WN1</v>
      </c>
      <c r="D96" s="22" t="str">
        <f>Inputs!$D$32</f>
        <v>Finland</v>
      </c>
      <c r="E96" s="22" t="str">
        <f>Inputs!$E$32</f>
        <v>Onshore wind</v>
      </c>
      <c r="F96" s="23" t="s">
        <v>16</v>
      </c>
      <c r="G96" s="24">
        <f>SUM(I96:W96)</f>
        <v>93770.855261238976</v>
      </c>
      <c r="H96" s="25"/>
      <c r="I96" s="33">
        <f>I24*I60/1000</f>
        <v>5825.4</v>
      </c>
      <c r="J96" s="33">
        <f>J24*J60/1000</f>
        <v>5883.6540000000005</v>
      </c>
      <c r="K96" s="33">
        <f>K24*K60/1000</f>
        <v>5942.4905400000007</v>
      </c>
      <c r="L96" s="33">
        <f>L24*L60/1000</f>
        <v>6001.9154454</v>
      </c>
      <c r="M96" s="33">
        <f>M24*M60/1000</f>
        <v>6061.9345998540011</v>
      </c>
      <c r="N96" s="33">
        <f>N24*N60/1000</f>
        <v>6122.55394585254</v>
      </c>
      <c r="O96" s="33">
        <f>O24*O60/1000</f>
        <v>6183.7794853110663</v>
      </c>
      <c r="P96" s="33">
        <f>P24*P60/1000</f>
        <v>6245.617280164176</v>
      </c>
      <c r="Q96" s="33">
        <f>Q24*Q60/1000</f>
        <v>6308.0734529658193</v>
      </c>
      <c r="R96" s="33">
        <f>R24*R60/1000</f>
        <v>6371.1541874954773</v>
      </c>
      <c r="S96" s="33">
        <f>S24*S60/1000</f>
        <v>6434.8657293704327</v>
      </c>
      <c r="T96" s="33">
        <f>T24*T60/1000</f>
        <v>6499.2143866641345</v>
      </c>
      <c r="U96" s="33">
        <f>U24*U60/1000</f>
        <v>6564.2065305307769</v>
      </c>
      <c r="V96" s="33">
        <f>V24*V60/1000</f>
        <v>6629.8485958360852</v>
      </c>
      <c r="W96" s="33">
        <f>W24*W60/1000</f>
        <v>6696.1470817944464</v>
      </c>
    </row>
    <row r="98" spans="2:23">
      <c r="B98" s="70">
        <f>+B86+1</f>
        <v>9</v>
      </c>
      <c r="C98" s="70" t="s">
        <v>114</v>
      </c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</row>
    <row r="99" spans="2:23">
      <c r="C99" s="21" t="str">
        <f>Inputs!$C$23</f>
        <v>ES-PV1</v>
      </c>
      <c r="D99" s="21" t="str">
        <f>Inputs!$D$23</f>
        <v>Spain</v>
      </c>
      <c r="E99" s="21" t="str">
        <f>Inputs!$E$23</f>
        <v>Solar PV</v>
      </c>
      <c r="F99" s="81" t="s">
        <v>16</v>
      </c>
      <c r="G99" s="16">
        <f>SUM(I99:W99)</f>
        <v>26411.445842368761</v>
      </c>
      <c r="I99" s="20">
        <f>I75-I87</f>
        <v>2936.0015999999996</v>
      </c>
      <c r="J99" s="20">
        <f>J75-J87</f>
        <v>2759.9533516799993</v>
      </c>
      <c r="K99" s="20">
        <f>K75-K87</f>
        <v>2585.8828573016026</v>
      </c>
      <c r="L99" s="20">
        <f>L75-L87</f>
        <v>2413.7573113148974</v>
      </c>
      <c r="M99" s="20">
        <f>M75-M87</f>
        <v>2243.5443825842085</v>
      </c>
      <c r="N99" s="20">
        <f>N75-N87</f>
        <v>2075.2122072162556</v>
      </c>
      <c r="O99" s="20">
        <f>O75-O87</f>
        <v>1908.7293814951527</v>
      </c>
      <c r="P99" s="20">
        <f>P75-P87</f>
        <v>1744.0649549226318</v>
      </c>
      <c r="Q99" s="20">
        <f>Q75-Q87</f>
        <v>1581.1884233618848</v>
      </c>
      <c r="R99" s="20">
        <f>R75-R87</f>
        <v>1420.0697222835706</v>
      </c>
      <c r="S99" s="20">
        <f>S75-S87</f>
        <v>1260.6792201123408</v>
      </c>
      <c r="T99" s="20">
        <f>T75-T87</f>
        <v>1102.9877116724501</v>
      </c>
      <c r="U99" s="20">
        <f>U75-U87</f>
        <v>946.96641173094304</v>
      </c>
      <c r="V99" s="20">
        <f>V75-V87</f>
        <v>792.58694863698111</v>
      </c>
      <c r="W99" s="20">
        <f>W75-W87</f>
        <v>639.82135805584585</v>
      </c>
    </row>
    <row r="100" spans="2:23">
      <c r="C100" s="22" t="str">
        <f>Inputs!$C$24</f>
        <v>PT-PV1</v>
      </c>
      <c r="D100" s="22" t="str">
        <f>Inputs!$D$24</f>
        <v>Portugal</v>
      </c>
      <c r="E100" s="22" t="str">
        <f>Inputs!$E$24</f>
        <v>Solar PV</v>
      </c>
      <c r="F100" s="82" t="s">
        <v>16</v>
      </c>
      <c r="G100" s="24">
        <f>SUM(I100:W100)</f>
        <v>13397.675160678897</v>
      </c>
      <c r="H100" s="25"/>
      <c r="I100" s="33">
        <f>I76-I88</f>
        <v>1716.96</v>
      </c>
      <c r="J100" s="33">
        <f>J76-J88</f>
        <v>1593.670008000001</v>
      </c>
      <c r="K100" s="33">
        <f>K76-K88</f>
        <v>1471.7399752523988</v>
      </c>
      <c r="L100" s="33">
        <f>L76-L88</f>
        <v>1351.1471783970428</v>
      </c>
      <c r="M100" s="33">
        <f>M76-M88</f>
        <v>1231.8692219477571</v>
      </c>
      <c r="N100" s="33">
        <f>N76-N88</f>
        <v>1113.8840333320359</v>
      </c>
      <c r="O100" s="33">
        <f>O76-O88</f>
        <v>997.16985800456587</v>
      </c>
      <c r="P100" s="33">
        <f>P76-P88</f>
        <v>881.7052546335517</v>
      </c>
      <c r="Q100" s="33">
        <f>Q76-Q88</f>
        <v>767.46909035865883</v>
      </c>
      <c r="R100" s="33">
        <f>R76-R88</f>
        <v>654.44053611962408</v>
      </c>
      <c r="S100" s="33">
        <f>S76-S88</f>
        <v>542.5990620543389</v>
      </c>
      <c r="T100" s="33">
        <f>T76-T88</f>
        <v>431.92443296548208</v>
      </c>
      <c r="U100" s="33">
        <f>U76-U88</f>
        <v>322.39670385460158</v>
      </c>
      <c r="V100" s="33">
        <f>V76-V88</f>
        <v>213.99621552268036</v>
      </c>
      <c r="W100" s="33">
        <f>W76-W88</f>
        <v>106.70359023615583</v>
      </c>
    </row>
    <row r="101" spans="2:23">
      <c r="C101" s="21" t="str">
        <f>Inputs!$C$25</f>
        <v>IT-PV1</v>
      </c>
      <c r="D101" s="21" t="str">
        <f>Inputs!$D$25</f>
        <v>Italy (Sud)</v>
      </c>
      <c r="E101" s="21" t="str">
        <f>Inputs!$E$25</f>
        <v>Solar PV</v>
      </c>
      <c r="F101" s="81" t="s">
        <v>16</v>
      </c>
      <c r="G101" s="16">
        <f>SUM(I101:W101)</f>
        <v>20260.040194710375</v>
      </c>
      <c r="I101" s="20">
        <f>I77-I89</f>
        <v>3910.4639999999999</v>
      </c>
      <c r="J101" s="20">
        <f>J77-J89</f>
        <v>3480.4832544000001</v>
      </c>
      <c r="K101" s="20">
        <f>K77-K89</f>
        <v>3066.9558431601599</v>
      </c>
      <c r="L101" s="20">
        <f>L77-L89</f>
        <v>2669.3010250511452</v>
      </c>
      <c r="M101" s="20">
        <f>M77-M89</f>
        <v>2286.9583343881095</v>
      </c>
      <c r="N101" s="20">
        <f>N77-N89</f>
        <v>1919.3868742443774</v>
      </c>
      <c r="O101" s="20">
        <f>O77-O89</f>
        <v>1566.064634297607</v>
      </c>
      <c r="P101" s="20">
        <f>P77-P89</f>
        <v>1226.4878324498786</v>
      </c>
      <c r="Q101" s="20">
        <f>Q77-Q89</f>
        <v>900.17027939325453</v>
      </c>
      <c r="R101" s="20">
        <f>R77-R89</f>
        <v>586.64276532113217</v>
      </c>
      <c r="S101" s="20">
        <f>S77-S89</f>
        <v>285.45246801360372</v>
      </c>
      <c r="T101" s="20">
        <f>T77-T89</f>
        <v>-3.8376184480821394</v>
      </c>
      <c r="U101" s="20">
        <f>U77-U89</f>
        <v>-281.64923505681872</v>
      </c>
      <c r="V101" s="20">
        <f>V77-V89</f>
        <v>-548.3893900386829</v>
      </c>
      <c r="W101" s="20">
        <f>W77-W89</f>
        <v>-804.45087246531148</v>
      </c>
    </row>
    <row r="102" spans="2:23">
      <c r="C102" s="22" t="str">
        <f>Inputs!$C$26</f>
        <v>GR-PV1</v>
      </c>
      <c r="D102" s="22" t="str">
        <f>Inputs!$D$26</f>
        <v>Greece</v>
      </c>
      <c r="E102" s="22" t="str">
        <f>Inputs!$E$26</f>
        <v>Solar PV</v>
      </c>
      <c r="F102" s="82" t="s">
        <v>16</v>
      </c>
      <c r="G102" s="24">
        <f>SUM(I102:W102)</f>
        <v>39593.925573663124</v>
      </c>
      <c r="H102" s="25"/>
      <c r="I102" s="33">
        <f>I78-I90</f>
        <v>4546.4399999999996</v>
      </c>
      <c r="J102" s="33">
        <f>J78-J90</f>
        <v>4243.6562940000003</v>
      </c>
      <c r="K102" s="33">
        <f>K78-K90</f>
        <v>3948.4166417131519</v>
      </c>
      <c r="L102" s="33">
        <f>L78-L90</f>
        <v>3660.5331960835083</v>
      </c>
      <c r="M102" s="33">
        <f>M78-M90</f>
        <v>3379.8227874468275</v>
      </c>
      <c r="N102" s="33">
        <f>N78-N90</f>
        <v>3106.1068070634992</v>
      </c>
      <c r="O102" s="33">
        <f>O78-O90</f>
        <v>2839.2110935515384</v>
      </c>
      <c r="P102" s="33">
        <f>P78-P90</f>
        <v>2578.9658221473774</v>
      </c>
      <c r="Q102" s="33">
        <f>Q78-Q90</f>
        <v>2325.2053967240608</v>
      </c>
      <c r="R102" s="33">
        <f>R78-R90</f>
        <v>2077.768344498194</v>
      </c>
      <c r="S102" s="33">
        <f>S78-S90</f>
        <v>1836.497213358698</v>
      </c>
      <c r="T102" s="33">
        <f>T78-T90</f>
        <v>1601.238471752059</v>
      </c>
      <c r="U102" s="33">
        <f>U78-U90</f>
        <v>1371.8424110604537</v>
      </c>
      <c r="V102" s="33">
        <f>V78-V90</f>
        <v>1148.1630504106352</v>
      </c>
      <c r="W102" s="33">
        <f>W78-W90</f>
        <v>930.05804385311239</v>
      </c>
    </row>
    <row r="103" spans="2:23">
      <c r="C103" s="21" t="str">
        <f>Inputs!$C$27</f>
        <v>FR-WN1</v>
      </c>
      <c r="D103" s="21" t="str">
        <f>Inputs!$D$27</f>
        <v>France</v>
      </c>
      <c r="E103" s="21" t="str">
        <f>Inputs!$E$27</f>
        <v>Onshore wind</v>
      </c>
      <c r="F103" s="81" t="s">
        <v>16</v>
      </c>
      <c r="G103" s="16">
        <f>SUM(I103:W103)</f>
        <v>-2115.1320735617865</v>
      </c>
      <c r="I103" s="20">
        <f>I79-I91</f>
        <v>-131.39999999999964</v>
      </c>
      <c r="J103" s="20">
        <f>J79-J91</f>
        <v>-132.71399999999994</v>
      </c>
      <c r="K103" s="20">
        <f>K79-K91</f>
        <v>-134.04114000000118</v>
      </c>
      <c r="L103" s="20">
        <f>L79-L91</f>
        <v>-135.38155140000163</v>
      </c>
      <c r="M103" s="20">
        <f>M79-M91</f>
        <v>-136.73536691400113</v>
      </c>
      <c r="N103" s="20">
        <f>N79-N91</f>
        <v>-138.10272058313967</v>
      </c>
      <c r="O103" s="20">
        <f>O79-O91</f>
        <v>-139.48374778897232</v>
      </c>
      <c r="P103" s="20">
        <f>P79-P91</f>
        <v>-140.8785852668625</v>
      </c>
      <c r="Q103" s="20">
        <f>Q79-Q91</f>
        <v>-142.28737111952796</v>
      </c>
      <c r="R103" s="20">
        <f>R79-R91</f>
        <v>-143.71024483072324</v>
      </c>
      <c r="S103" s="20">
        <f>S79-S91</f>
        <v>-145.14734727903488</v>
      </c>
      <c r="T103" s="20">
        <f>T79-T91</f>
        <v>-146.59882075182213</v>
      </c>
      <c r="U103" s="20">
        <f>U79-U91</f>
        <v>-148.06480895933964</v>
      </c>
      <c r="V103" s="20">
        <f>V79-V91</f>
        <v>-149.54545704893644</v>
      </c>
      <c r="W103" s="20">
        <f>W79-W91</f>
        <v>-151.04091161942415</v>
      </c>
    </row>
    <row r="104" spans="2:23">
      <c r="C104" s="22" t="str">
        <f>Inputs!$C$28</f>
        <v>DE-WN1</v>
      </c>
      <c r="D104" s="22" t="str">
        <f>Inputs!$D$28</f>
        <v>Germany</v>
      </c>
      <c r="E104" s="22" t="str">
        <f>Inputs!$E$28</f>
        <v>Onshore wind</v>
      </c>
      <c r="F104" s="82" t="s">
        <v>16</v>
      </c>
      <c r="G104" s="24">
        <f>SUM(I104:W104)</f>
        <v>1968.6972857277233</v>
      </c>
      <c r="H104" s="25"/>
      <c r="I104" s="33">
        <f>I80-I92</f>
        <v>1229.9040000000005</v>
      </c>
      <c r="J104" s="33">
        <f>J80-J92</f>
        <v>1076.1659999999993</v>
      </c>
      <c r="K104" s="33">
        <f>K80-K92</f>
        <v>921.72080520000054</v>
      </c>
      <c r="L104" s="33">
        <f>L80-L92</f>
        <v>766.55719272600072</v>
      </c>
      <c r="M104" s="33">
        <f>M80-M92</f>
        <v>610.66384822989312</v>
      </c>
      <c r="N104" s="33">
        <f>N80-N92</f>
        <v>454.02936487093757</v>
      </c>
      <c r="O104" s="33">
        <f>O80-O92</f>
        <v>296.64224228759667</v>
      </c>
      <c r="P104" s="33">
        <f>P80-P92</f>
        <v>138.49088555959133</v>
      </c>
      <c r="Q104" s="33">
        <f>Q80-Q92</f>
        <v>-20.436395839948091</v>
      </c>
      <c r="R104" s="33">
        <f>R80-R92</f>
        <v>-180.15138910220594</v>
      </c>
      <c r="S104" s="33">
        <f>S80-S92</f>
        <v>-340.66597915056263</v>
      </c>
      <c r="T104" s="33">
        <f>T80-T92</f>
        <v>-501.99214971861875</v>
      </c>
      <c r="U104" s="33">
        <f>U80-U92</f>
        <v>-664.1419844384709</v>
      </c>
      <c r="V104" s="33">
        <f>V80-V92</f>
        <v>-827.12766793941046</v>
      </c>
      <c r="W104" s="33">
        <f>W80-W92</f>
        <v>-990.96148695707961</v>
      </c>
    </row>
    <row r="105" spans="2:23">
      <c r="C105" s="21" t="str">
        <f>Inputs!$C$29</f>
        <v>NL-OW1</v>
      </c>
      <c r="D105" s="21" t="str">
        <f>Inputs!$D$29</f>
        <v>Netherlands</v>
      </c>
      <c r="E105" s="21" t="str">
        <f>Inputs!$E$29</f>
        <v>Offshore wind</v>
      </c>
      <c r="F105" s="81" t="s">
        <v>16</v>
      </c>
      <c r="G105" s="16">
        <f>SUM(I105:W105)</f>
        <v>-22280.116712341329</v>
      </c>
      <c r="I105" s="20">
        <f>I81-I93</f>
        <v>0</v>
      </c>
      <c r="J105" s="20">
        <f>J81-J93</f>
        <v>-198.67679999999746</v>
      </c>
      <c r="K105" s="20">
        <f>K81-K93</f>
        <v>-400.333751999995</v>
      </c>
      <c r="L105" s="20">
        <f>L81-L93</f>
        <v>-605.01555827999437</v>
      </c>
      <c r="M105" s="20">
        <f>M81-M93</f>
        <v>-812.76759165419389</v>
      </c>
      <c r="N105" s="20">
        <f>N81-N93</f>
        <v>-1023.6359055290031</v>
      </c>
      <c r="O105" s="20">
        <f>O81-O93</f>
        <v>-1237.6672441119354</v>
      </c>
      <c r="P105" s="20">
        <f>P81-P93</f>
        <v>-1454.9090527736116</v>
      </c>
      <c r="Q105" s="20">
        <f>Q81-Q93</f>
        <v>-1675.4094885652157</v>
      </c>
      <c r="R105" s="20">
        <f>R81-R93</f>
        <v>-1899.2174308936919</v>
      </c>
      <c r="S105" s="20">
        <f>S81-S93</f>
        <v>-2126.3824923570955</v>
      </c>
      <c r="T105" s="20">
        <f>T81-T93</f>
        <v>-2356.9550297424503</v>
      </c>
      <c r="U105" s="20">
        <f>U81-U93</f>
        <v>-2590.9861551885842</v>
      </c>
      <c r="V105" s="20">
        <f>V81-V93</f>
        <v>-2828.5277475164094</v>
      </c>
      <c r="W105" s="20">
        <f>W81-W93</f>
        <v>-3069.6324637291509</v>
      </c>
    </row>
    <row r="106" spans="2:23">
      <c r="C106" s="22" t="str">
        <f>Inputs!$C$30</f>
        <v>PL-WN1</v>
      </c>
      <c r="D106" s="22" t="str">
        <f>Inputs!$D$30</f>
        <v>Poland</v>
      </c>
      <c r="E106" s="22" t="str">
        <f>Inputs!$E$30</f>
        <v>Onshore wind</v>
      </c>
      <c r="F106" s="82" t="s">
        <v>16</v>
      </c>
      <c r="G106" s="24">
        <f>SUM(I106:W106)</f>
        <v>9561.8267983692185</v>
      </c>
      <c r="H106" s="25"/>
      <c r="I106" s="33">
        <f>I82-I94</f>
        <v>2963.0699999999997</v>
      </c>
      <c r="J106" s="33">
        <f>J82-J94</f>
        <v>2622.3169499999985</v>
      </c>
      <c r="K106" s="33">
        <f>K82-K94</f>
        <v>2283.7121257500003</v>
      </c>
      <c r="L106" s="33">
        <f>L82-L94</f>
        <v>1947.1936731637525</v>
      </c>
      <c r="M106" s="33">
        <f>M82-M94</f>
        <v>1612.700369659291</v>
      </c>
      <c r="N106" s="33">
        <f>N82-N94</f>
        <v>1280.1716117233354</v>
      </c>
      <c r="O106" s="33">
        <f>O82-O94</f>
        <v>949.54740263250096</v>
      </c>
      <c r="P106" s="33">
        <f>P82-P94</f>
        <v>620.76834032888655</v>
      </c>
      <c r="Q106" s="33">
        <f>Q82-Q94</f>
        <v>293.77560544718108</v>
      </c>
      <c r="R106" s="33">
        <f>R82-R94</f>
        <v>-31.489050509071603</v>
      </c>
      <c r="S106" s="33">
        <f>S82-S94</f>
        <v>-355.08331684471887</v>
      </c>
      <c r="T106" s="33">
        <f>T82-T94</f>
        <v>-677.06433520626342</v>
      </c>
      <c r="U106" s="33">
        <f>U82-U94</f>
        <v>-997.48871097353003</v>
      </c>
      <c r="V106" s="33">
        <f>V82-V94</f>
        <v>-1316.4125245122395</v>
      </c>
      <c r="W106" s="33">
        <f>W82-W94</f>
        <v>-1633.8913422899041</v>
      </c>
    </row>
    <row r="107" spans="2:23">
      <c r="C107" s="21" t="str">
        <f>Inputs!$C$31</f>
        <v>SE-WN1</v>
      </c>
      <c r="D107" s="21" t="str">
        <f>Inputs!$D$31</f>
        <v>Sweden (SE3)</v>
      </c>
      <c r="E107" s="21" t="str">
        <f>Inputs!$E$31</f>
        <v>Onshore wind</v>
      </c>
      <c r="F107" s="81" t="s">
        <v>16</v>
      </c>
      <c r="G107" s="16">
        <f>SUM(I107:W107)</f>
        <v>20754.163086945027</v>
      </c>
      <c r="I107" s="20">
        <f>I83-I95</f>
        <v>1561.0320000000002</v>
      </c>
      <c r="J107" s="20">
        <f>J83-J95</f>
        <v>1537.6165199999987</v>
      </c>
      <c r="K107" s="20">
        <f>K83-K95</f>
        <v>1513.7717561999989</v>
      </c>
      <c r="L107" s="20">
        <f>L83-L95</f>
        <v>1489.4924401169983</v>
      </c>
      <c r="M107" s="20">
        <f>M83-M95</f>
        <v>1464.7732457049387</v>
      </c>
      <c r="N107" s="20">
        <f>N83-N95</f>
        <v>1439.6087887546964</v>
      </c>
      <c r="O107" s="20">
        <f>O83-O95</f>
        <v>1413.9936262879155</v>
      </c>
      <c r="P107" s="20">
        <f>P83-P95</f>
        <v>1387.9222559446953</v>
      </c>
      <c r="Q107" s="20">
        <f>Q83-Q95</f>
        <v>1361.3891153650093</v>
      </c>
      <c r="R107" s="20">
        <f>R83-R95</f>
        <v>1334.3885815638341</v>
      </c>
      <c r="S107" s="20">
        <f>S83-S95</f>
        <v>1306.9149702998711</v>
      </c>
      <c r="T107" s="20">
        <f>T83-T95</f>
        <v>1278.9625354378722</v>
      </c>
      <c r="U107" s="20">
        <f>U83-U95</f>
        <v>1250.5254683044268</v>
      </c>
      <c r="V107" s="20">
        <f>V83-V95</f>
        <v>1221.597897037208</v>
      </c>
      <c r="W107" s="20">
        <f>W83-W95</f>
        <v>1192.1738859275647</v>
      </c>
    </row>
    <row r="108" spans="2:23">
      <c r="C108" s="22" t="str">
        <f>Inputs!$C$32</f>
        <v>FI-WN1</v>
      </c>
      <c r="D108" s="22" t="str">
        <f>Inputs!$D$32</f>
        <v>Finland</v>
      </c>
      <c r="E108" s="22" t="str">
        <f>Inputs!$E$32</f>
        <v>Onshore wind</v>
      </c>
      <c r="F108" s="82" t="s">
        <v>16</v>
      </c>
      <c r="G108" s="24">
        <f>SUM(I108:W108)</f>
        <v>2767.8887894681438</v>
      </c>
      <c r="H108" s="25"/>
      <c r="I108" s="33">
        <f>I84-I96</f>
        <v>1073.1000000000004</v>
      </c>
      <c r="J108" s="33">
        <f>J84-J96</f>
        <v>945.86099999999988</v>
      </c>
      <c r="K108" s="33">
        <f>K84-K96</f>
        <v>818.72930999999971</v>
      </c>
      <c r="L108" s="33">
        <f>L84-L96</f>
        <v>691.69220609999957</v>
      </c>
      <c r="M108" s="33">
        <f>M84-M96</f>
        <v>564.73697513099796</v>
      </c>
      <c r="N108" s="33">
        <f>N84-N96</f>
        <v>437.85091338260918</v>
      </c>
      <c r="O108" s="33">
        <f>O84-O96</f>
        <v>311.02132533173153</v>
      </c>
      <c r="P108" s="33">
        <f>P84-P96</f>
        <v>184.23552237219428</v>
      </c>
      <c r="Q108" s="33">
        <f>Q84-Q96</f>
        <v>57.480821545187609</v>
      </c>
      <c r="R108" s="33">
        <f>R84-R96</f>
        <v>-69.255455729581627</v>
      </c>
      <c r="S108" s="33">
        <f>S84-S96</f>
        <v>-195.98598492219571</v>
      </c>
      <c r="T108" s="33">
        <f>T84-T96</f>
        <v>-322.72343966038079</v>
      </c>
      <c r="U108" s="33">
        <f>U84-U96</f>
        <v>-449.48049299706054</v>
      </c>
      <c r="V108" s="33">
        <f>V84-V96</f>
        <v>-576.26981867770701</v>
      </c>
      <c r="W108" s="33">
        <f>W84-W96</f>
        <v>-703.10409240765057</v>
      </c>
    </row>
    <row r="110" spans="2:23">
      <c r="B110" s="70">
        <f>+B98+1</f>
        <v>10</v>
      </c>
      <c r="C110" s="70" t="s">
        <v>115</v>
      </c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</row>
    <row r="111" spans="2:23">
      <c r="C111" s="21" t="str">
        <f>Inputs!$C$23</f>
        <v>ES-PV1</v>
      </c>
      <c r="D111" s="21" t="str">
        <f>Inputs!$D$23</f>
        <v>Spain</v>
      </c>
      <c r="E111" s="21" t="str">
        <f>Inputs!$E$23</f>
        <v>Solar PV</v>
      </c>
      <c r="F111" s="81" t="s">
        <v>16</v>
      </c>
      <c r="G111" s="16">
        <f>SUM(I111:W111)</f>
        <v>326241.50046158407</v>
      </c>
      <c r="I111" s="20">
        <f>I$12-I99</f>
        <v>22263.9984</v>
      </c>
      <c r="J111" s="20">
        <f>J$12-J99</f>
        <v>22188.04664832</v>
      </c>
      <c r="K111" s="20">
        <f>K$12-K99</f>
        <v>22112.637142698397</v>
      </c>
      <c r="L111" s="20">
        <f>L$12-L99</f>
        <v>22037.777488685104</v>
      </c>
      <c r="M111" s="20">
        <f>M$12-M99</f>
        <v>21963.475069415788</v>
      </c>
      <c r="N111" s="20">
        <f>N$12-N99</f>
        <v>21889.737050263742</v>
      </c>
      <c r="O111" s="20">
        <f>O$12-O99</f>
        <v>21816.570383410046</v>
      </c>
      <c r="P111" s="20">
        <f>P$12-P99</f>
        <v>21743.981812333517</v>
      </c>
      <c r="Q111" s="20">
        <f>Q$12-Q99</f>
        <v>21671.977876221699</v>
      </c>
      <c r="R111" s="20">
        <f>R$12-R99</f>
        <v>21600.564914304177</v>
      </c>
      <c r="S111" s="20">
        <f>S$12-S99</f>
        <v>21529.74907010953</v>
      </c>
      <c r="T111" s="20">
        <f>T$12-T99</f>
        <v>21459.536295647202</v>
      </c>
      <c r="U111" s="20">
        <f>U$12-U99</f>
        <v>21389.932355515506</v>
      </c>
      <c r="V111" s="20">
        <f>V$12-V99</f>
        <v>21320.942830937009</v>
      </c>
      <c r="W111" s="20">
        <f>W$12-W99</f>
        <v>21252.573123722403</v>
      </c>
    </row>
    <row r="112" spans="2:23">
      <c r="C112" s="22" t="str">
        <f>Inputs!$C$24</f>
        <v>PT-PV1</v>
      </c>
      <c r="D112" s="22" t="str">
        <f>Inputs!$D$24</f>
        <v>Portugal</v>
      </c>
      <c r="E112" s="22" t="str">
        <f>Inputs!$E$24</f>
        <v>Solar PV</v>
      </c>
      <c r="F112" s="82" t="s">
        <v>16</v>
      </c>
      <c r="G112" s="24">
        <f>SUM(I112:W112)</f>
        <v>339255.27114327403</v>
      </c>
      <c r="H112" s="25"/>
      <c r="I112" s="33">
        <f>I$12-I100</f>
        <v>23483.040000000001</v>
      </c>
      <c r="J112" s="33">
        <f>J$12-J100</f>
        <v>23354.329991999999</v>
      </c>
      <c r="K112" s="33">
        <f>K$12-K100</f>
        <v>23226.780024747601</v>
      </c>
      <c r="L112" s="33">
        <f>L$12-L100</f>
        <v>23100.38762160296</v>
      </c>
      <c r="M112" s="33">
        <f>M$12-M100</f>
        <v>22975.150230052241</v>
      </c>
      <c r="N112" s="33">
        <f>N$12-N100</f>
        <v>22851.065224147962</v>
      </c>
      <c r="O112" s="33">
        <f>O$12-O100</f>
        <v>22728.129906900631</v>
      </c>
      <c r="P112" s="33">
        <f>P$12-P100</f>
        <v>22606.341512622599</v>
      </c>
      <c r="Q112" s="33">
        <f>Q$12-Q100</f>
        <v>22485.697209224923</v>
      </c>
      <c r="R112" s="33">
        <f>R$12-R100</f>
        <v>22366.194100468121</v>
      </c>
      <c r="S112" s="33">
        <f>S$12-S100</f>
        <v>22247.829228167531</v>
      </c>
      <c r="T112" s="33">
        <f>T$12-T100</f>
        <v>22130.599574354168</v>
      </c>
      <c r="U112" s="33">
        <f>U$12-U100</f>
        <v>22014.502063391847</v>
      </c>
      <c r="V112" s="33">
        <f>V$12-V100</f>
        <v>21899.533564051308</v>
      </c>
      <c r="W112" s="33">
        <f>W$12-W100</f>
        <v>21785.690891542094</v>
      </c>
    </row>
    <row r="113" spans="2:23">
      <c r="C113" s="21" t="str">
        <f>Inputs!$C$25</f>
        <v>IT-PV1</v>
      </c>
      <c r="D113" s="21" t="str">
        <f>Inputs!$D$25</f>
        <v>Italy (Sud)</v>
      </c>
      <c r="E113" s="21" t="str">
        <f>Inputs!$E$25</f>
        <v>Solar PV</v>
      </c>
      <c r="F113" s="81" t="s">
        <v>16</v>
      </c>
      <c r="G113" s="16">
        <f>SUM(I113:W113)</f>
        <v>332392.90610924258</v>
      </c>
      <c r="I113" s="20">
        <f>I$12-I101</f>
        <v>21289.536</v>
      </c>
      <c r="J113" s="20">
        <f>J$12-J101</f>
        <v>21467.516745599998</v>
      </c>
      <c r="K113" s="20">
        <f>K$12-K101</f>
        <v>21631.564156839842</v>
      </c>
      <c r="L113" s="20">
        <f>L$12-L101</f>
        <v>21782.233774948858</v>
      </c>
      <c r="M113" s="20">
        <f>M$12-M101</f>
        <v>21920.061117611887</v>
      </c>
      <c r="N113" s="20">
        <f>N$12-N101</f>
        <v>22045.562383235621</v>
      </c>
      <c r="O113" s="20">
        <f>O$12-O101</f>
        <v>22159.235130607591</v>
      </c>
      <c r="P113" s="20">
        <f>P$12-P101</f>
        <v>22261.558934806271</v>
      </c>
      <c r="Q113" s="20">
        <f>Q$12-Q101</f>
        <v>22352.99602019033</v>
      </c>
      <c r="R113" s="20">
        <f>R$12-R101</f>
        <v>22433.991871266615</v>
      </c>
      <c r="S113" s="20">
        <f>S$12-S101</f>
        <v>22504.975822208267</v>
      </c>
      <c r="T113" s="20">
        <f>T$12-T101</f>
        <v>22566.361625767735</v>
      </c>
      <c r="U113" s="20">
        <f>U$12-U101</f>
        <v>22618.548002303269</v>
      </c>
      <c r="V113" s="20">
        <f>V$12-V101</f>
        <v>22661.919169612673</v>
      </c>
      <c r="W113" s="20">
        <f>W$12-W101</f>
        <v>22696.84535424356</v>
      </c>
    </row>
    <row r="114" spans="2:23">
      <c r="C114" s="22" t="str">
        <f>Inputs!$C$26</f>
        <v>GR-PV1</v>
      </c>
      <c r="D114" s="22" t="str">
        <f>Inputs!$D$26</f>
        <v>Greece</v>
      </c>
      <c r="E114" s="22" t="str">
        <f>Inputs!$E$26</f>
        <v>Solar PV</v>
      </c>
      <c r="F114" s="82" t="s">
        <v>16</v>
      </c>
      <c r="G114" s="24">
        <f>SUM(I114:W114)</f>
        <v>313059.02073028975</v>
      </c>
      <c r="H114" s="25"/>
      <c r="I114" s="33">
        <f>I$12-I102</f>
        <v>20653.560000000001</v>
      </c>
      <c r="J114" s="33">
        <f>J$12-J102</f>
        <v>20704.343706</v>
      </c>
      <c r="K114" s="33">
        <f>K$12-K102</f>
        <v>20750.103358286848</v>
      </c>
      <c r="L114" s="33">
        <f>L$12-L102</f>
        <v>20791.001603916491</v>
      </c>
      <c r="M114" s="33">
        <f>M$12-M102</f>
        <v>20827.196664553168</v>
      </c>
      <c r="N114" s="33">
        <f>N$12-N102</f>
        <v>20858.842450416501</v>
      </c>
      <c r="O114" s="33">
        <f>O$12-O102</f>
        <v>20886.08867135366</v>
      </c>
      <c r="P114" s="33">
        <f>P$12-P102</f>
        <v>20909.080945108773</v>
      </c>
      <c r="Q114" s="33">
        <f>Q$12-Q102</f>
        <v>20927.960902859522</v>
      </c>
      <c r="R114" s="33">
        <f>R$12-R102</f>
        <v>20942.866292089551</v>
      </c>
      <c r="S114" s="33">
        <f>S$12-S102</f>
        <v>20953.931076863169</v>
      </c>
      <c r="T114" s="33">
        <f>T$12-T102</f>
        <v>20961.285535567593</v>
      </c>
      <c r="U114" s="33">
        <f>U$12-U102</f>
        <v>20965.056356185996</v>
      </c>
      <c r="V114" s="33">
        <f>V$12-V102</f>
        <v>20965.366729163354</v>
      </c>
      <c r="W114" s="33">
        <f>W$12-W102</f>
        <v>20962.336437925136</v>
      </c>
    </row>
    <row r="115" spans="2:23">
      <c r="C115" s="21" t="str">
        <f>Inputs!$C$27</f>
        <v>FR-WN1</v>
      </c>
      <c r="D115" s="21" t="str">
        <f>Inputs!$D$27</f>
        <v>France</v>
      </c>
      <c r="E115" s="21" t="str">
        <f>Inputs!$E$27</f>
        <v>Onshore wind</v>
      </c>
      <c r="F115" s="81" t="s">
        <v>16</v>
      </c>
      <c r="G115" s="16">
        <f>SUM(I115:W115)</f>
        <v>354768.07837751467</v>
      </c>
      <c r="I115" s="20">
        <f>I$12-I103</f>
        <v>25331.4</v>
      </c>
      <c r="J115" s="20">
        <f>J$12-J103</f>
        <v>25080.714</v>
      </c>
      <c r="K115" s="20">
        <f>K$12-K103</f>
        <v>24832.561140000002</v>
      </c>
      <c r="L115" s="20">
        <f>L$12-L103</f>
        <v>24586.916351400003</v>
      </c>
      <c r="M115" s="20">
        <f>M$12-M103</f>
        <v>24343.754818914</v>
      </c>
      <c r="N115" s="20">
        <f>N$12-N103</f>
        <v>24103.051978063137</v>
      </c>
      <c r="O115" s="20">
        <f>O$12-O103</f>
        <v>23864.783512694172</v>
      </c>
      <c r="P115" s="20">
        <f>P$12-P103</f>
        <v>23628.925352523012</v>
      </c>
      <c r="Q115" s="20">
        <f>Q$12-Q103</f>
        <v>23395.453670703111</v>
      </c>
      <c r="R115" s="20">
        <f>R$12-R103</f>
        <v>23164.34488141847</v>
      </c>
      <c r="S115" s="20">
        <f>S$12-S103</f>
        <v>22935.575637500904</v>
      </c>
      <c r="T115" s="20">
        <f>T$12-T103</f>
        <v>22709.122828071471</v>
      </c>
      <c r="U115" s="20">
        <f>U$12-U103</f>
        <v>22484.963576205788</v>
      </c>
      <c r="V115" s="20">
        <f>V$12-V103</f>
        <v>22263.075236622928</v>
      </c>
      <c r="W115" s="20">
        <f>W$12-W103</f>
        <v>22043.435393397674</v>
      </c>
    </row>
    <row r="116" spans="2:23">
      <c r="C116" s="22" t="str">
        <f>Inputs!$C$28</f>
        <v>DE-WN1</v>
      </c>
      <c r="D116" s="22" t="str">
        <f>Inputs!$D$28</f>
        <v>Germany</v>
      </c>
      <c r="E116" s="22" t="str">
        <f>Inputs!$E$28</f>
        <v>Onshore wind</v>
      </c>
      <c r="F116" s="82" t="s">
        <v>16</v>
      </c>
      <c r="G116" s="24">
        <f>SUM(I116:W116)</f>
        <v>350684.24901822518</v>
      </c>
      <c r="H116" s="25"/>
      <c r="I116" s="33">
        <f>I$12-I104</f>
        <v>23970.095999999998</v>
      </c>
      <c r="J116" s="33">
        <f>J$12-J104</f>
        <v>23871.834000000003</v>
      </c>
      <c r="K116" s="33">
        <f>K$12-K104</f>
        <v>23776.799194799998</v>
      </c>
      <c r="L116" s="33">
        <f>L$12-L104</f>
        <v>23684.977607273999</v>
      </c>
      <c r="M116" s="33">
        <f>M$12-M104</f>
        <v>23596.355603770106</v>
      </c>
      <c r="N116" s="33">
        <f>N$12-N104</f>
        <v>23510.919892609061</v>
      </c>
      <c r="O116" s="33">
        <f>O$12-O104</f>
        <v>23428.657522617599</v>
      </c>
      <c r="P116" s="33">
        <f>P$12-P104</f>
        <v>23349.555881696557</v>
      </c>
      <c r="Q116" s="33">
        <f>Q$12-Q104</f>
        <v>23273.602695423531</v>
      </c>
      <c r="R116" s="33">
        <f>R$12-R104</f>
        <v>23200.786025689951</v>
      </c>
      <c r="S116" s="33">
        <f>S$12-S104</f>
        <v>23131.094269372432</v>
      </c>
      <c r="T116" s="33">
        <f>T$12-T104</f>
        <v>23064.51615703827</v>
      </c>
      <c r="U116" s="33">
        <f>U$12-U104</f>
        <v>23001.040751684923</v>
      </c>
      <c r="V116" s="33">
        <f>V$12-V104</f>
        <v>22940.6574475134</v>
      </c>
      <c r="W116" s="33">
        <f>W$12-W104</f>
        <v>22883.35596873533</v>
      </c>
    </row>
    <row r="117" spans="2:23">
      <c r="C117" s="21" t="str">
        <f>Inputs!$C$29</f>
        <v>NL-OW1</v>
      </c>
      <c r="D117" s="21" t="str">
        <f>Inputs!$D$29</f>
        <v>Netherlands</v>
      </c>
      <c r="E117" s="21" t="str">
        <f>Inputs!$E$29</f>
        <v>Offshore wind</v>
      </c>
      <c r="F117" s="81" t="s">
        <v>16</v>
      </c>
      <c r="G117" s="16">
        <f>SUM(I117:W117)</f>
        <v>374933.06301629421</v>
      </c>
      <c r="I117" s="20">
        <f>I$12-I105</f>
        <v>25200</v>
      </c>
      <c r="J117" s="20">
        <f>J$12-J105</f>
        <v>25146.676799999997</v>
      </c>
      <c r="K117" s="20">
        <f>K$12-K105</f>
        <v>25098.853751999995</v>
      </c>
      <c r="L117" s="20">
        <f>L$12-L105</f>
        <v>25056.550358279994</v>
      </c>
      <c r="M117" s="20">
        <f>M$12-M105</f>
        <v>25019.787043654193</v>
      </c>
      <c r="N117" s="20">
        <f>N$12-N105</f>
        <v>24988.585163009004</v>
      </c>
      <c r="O117" s="20">
        <f>O$12-O105</f>
        <v>24962.967009017135</v>
      </c>
      <c r="P117" s="20">
        <f>P$12-P105</f>
        <v>24942.955820029762</v>
      </c>
      <c r="Q117" s="20">
        <f>Q$12-Q105</f>
        <v>24928.575788148799</v>
      </c>
      <c r="R117" s="20">
        <f>R$12-R105</f>
        <v>24919.852067481439</v>
      </c>
      <c r="S117" s="20">
        <f>S$12-S105</f>
        <v>24916.810782578963</v>
      </c>
      <c r="T117" s="20">
        <f>T$12-T105</f>
        <v>24919.479037062101</v>
      </c>
      <c r="U117" s="20">
        <f>U$12-U105</f>
        <v>24927.884922435034</v>
      </c>
      <c r="V117" s="20">
        <f>V$12-V105</f>
        <v>24942.057527090401</v>
      </c>
      <c r="W117" s="20">
        <f>W$12-W105</f>
        <v>24962.026945507401</v>
      </c>
    </row>
    <row r="118" spans="2:23">
      <c r="C118" s="22" t="str">
        <f>Inputs!$C$30</f>
        <v>PL-WN1</v>
      </c>
      <c r="D118" s="22" t="str">
        <f>Inputs!$D$30</f>
        <v>Poland</v>
      </c>
      <c r="E118" s="22" t="str">
        <f>Inputs!$E$30</f>
        <v>Onshore wind</v>
      </c>
      <c r="F118" s="82" t="s">
        <v>16</v>
      </c>
      <c r="G118" s="24">
        <f>SUM(I118:W118)</f>
        <v>343091.11950558366</v>
      </c>
      <c r="H118" s="25"/>
      <c r="I118" s="33">
        <f>I$12-I106</f>
        <v>22236.93</v>
      </c>
      <c r="J118" s="33">
        <f>J$12-J106</f>
        <v>22325.68305</v>
      </c>
      <c r="K118" s="33">
        <f>K$12-K106</f>
        <v>22414.80787425</v>
      </c>
      <c r="L118" s="33">
        <f>L$12-L106</f>
        <v>22504.341126836247</v>
      </c>
      <c r="M118" s="33">
        <f>M$12-M106</f>
        <v>22594.319082340706</v>
      </c>
      <c r="N118" s="33">
        <f>N$12-N106</f>
        <v>22684.777645756665</v>
      </c>
      <c r="O118" s="33">
        <f>O$12-O106</f>
        <v>22775.752362272695</v>
      </c>
      <c r="P118" s="33">
        <f>P$12-P106</f>
        <v>22867.278426927263</v>
      </c>
      <c r="Q118" s="33">
        <f>Q$12-Q106</f>
        <v>22959.390694136404</v>
      </c>
      <c r="R118" s="33">
        <f>R$12-R106</f>
        <v>23052.123687096821</v>
      </c>
      <c r="S118" s="33">
        <f>S$12-S106</f>
        <v>23145.51160706659</v>
      </c>
      <c r="T118" s="33">
        <f>T$12-T106</f>
        <v>23239.588342525916</v>
      </c>
      <c r="U118" s="33">
        <f>U$12-U106</f>
        <v>23334.387478219978</v>
      </c>
      <c r="V118" s="33">
        <f>V$12-V106</f>
        <v>23429.942304086231</v>
      </c>
      <c r="W118" s="33">
        <f>W$12-W106</f>
        <v>23526.285824068153</v>
      </c>
    </row>
    <row r="119" spans="2:23">
      <c r="C119" s="21" t="str">
        <f>Inputs!$C$31</f>
        <v>SE-WN1</v>
      </c>
      <c r="D119" s="21" t="str">
        <f>Inputs!$D$31</f>
        <v>Sweden (SE3)</v>
      </c>
      <c r="E119" s="21" t="str">
        <f>Inputs!$E$31</f>
        <v>Onshore wind</v>
      </c>
      <c r="F119" s="81" t="s">
        <v>16</v>
      </c>
      <c r="G119" s="16">
        <f>SUM(I119:W119)</f>
        <v>331898.78321700788</v>
      </c>
      <c r="I119" s="20">
        <f>I$12-I107</f>
        <v>23638.968000000001</v>
      </c>
      <c r="J119" s="20">
        <f>J$12-J107</f>
        <v>23410.38348</v>
      </c>
      <c r="K119" s="20">
        <f>K$12-K107</f>
        <v>23184.748243800001</v>
      </c>
      <c r="L119" s="20">
        <f>L$12-L107</f>
        <v>22962.042359883002</v>
      </c>
      <c r="M119" s="20">
        <f>M$12-M107</f>
        <v>22742.246206295058</v>
      </c>
      <c r="N119" s="20">
        <f>N$12-N107</f>
        <v>22525.340468725302</v>
      </c>
      <c r="O119" s="20">
        <f>O$12-O107</f>
        <v>22311.306138617281</v>
      </c>
      <c r="P119" s="20">
        <f>P$12-P107</f>
        <v>22100.124511311456</v>
      </c>
      <c r="Q119" s="20">
        <f>Q$12-Q107</f>
        <v>21891.777184218576</v>
      </c>
      <c r="R119" s="20">
        <f>R$12-R107</f>
        <v>21686.246055023912</v>
      </c>
      <c r="S119" s="20">
        <f>S$12-S107</f>
        <v>21483.513319922</v>
      </c>
      <c r="T119" s="20">
        <f>T$12-T107</f>
        <v>21283.561471881778</v>
      </c>
      <c r="U119" s="20">
        <f>U$12-U107</f>
        <v>21086.373298942024</v>
      </c>
      <c r="V119" s="20">
        <f>V$12-V107</f>
        <v>20891.931882536781</v>
      </c>
      <c r="W119" s="20">
        <f>W$12-W107</f>
        <v>20700.220595850686</v>
      </c>
    </row>
    <row r="120" spans="2:23">
      <c r="C120" s="22" t="str">
        <f>Inputs!$C$32</f>
        <v>FI-WN1</v>
      </c>
      <c r="D120" s="22" t="str">
        <f>Inputs!$D$32</f>
        <v>Finland</v>
      </c>
      <c r="E120" s="22" t="str">
        <f>Inputs!$E$32</f>
        <v>Onshore wind</v>
      </c>
      <c r="F120" s="82" t="s">
        <v>16</v>
      </c>
      <c r="G120" s="24">
        <f>SUM(I120:W120)</f>
        <v>349885.05751448474</v>
      </c>
      <c r="H120" s="25"/>
      <c r="I120" s="33">
        <f>I$12-I108</f>
        <v>24126.9</v>
      </c>
      <c r="J120" s="33">
        <f>J$12-J108</f>
        <v>24002.138999999999</v>
      </c>
      <c r="K120" s="33">
        <f>K$12-K108</f>
        <v>23879.790690000002</v>
      </c>
      <c r="L120" s="33">
        <f>L$12-L108</f>
        <v>23759.842593900001</v>
      </c>
      <c r="M120" s="33">
        <f>M$12-M108</f>
        <v>23642.282476868997</v>
      </c>
      <c r="N120" s="33">
        <f>N$12-N108</f>
        <v>23527.098344097391</v>
      </c>
      <c r="O120" s="33">
        <f>O$12-O108</f>
        <v>23414.278439573467</v>
      </c>
      <c r="P120" s="33">
        <f>P$12-P108</f>
        <v>23303.811244883957</v>
      </c>
      <c r="Q120" s="33">
        <f>Q$12-Q108</f>
        <v>23195.685478038395</v>
      </c>
      <c r="R120" s="33">
        <f>R$12-R108</f>
        <v>23089.890092317328</v>
      </c>
      <c r="S120" s="33">
        <f>S$12-S108</f>
        <v>22986.414275144067</v>
      </c>
      <c r="T120" s="33">
        <f>T$12-T108</f>
        <v>22885.247446980033</v>
      </c>
      <c r="U120" s="33">
        <f>U$12-U108</f>
        <v>22786.37926024351</v>
      </c>
      <c r="V120" s="33">
        <f>V$12-V108</f>
        <v>22689.799598251695</v>
      </c>
      <c r="W120" s="33">
        <f>W$12-W108</f>
        <v>22595.498574185902</v>
      </c>
    </row>
    <row r="122" spans="2:23">
      <c r="B122" s="70">
        <f>+B110+1</f>
        <v>11</v>
      </c>
      <c r="C122" s="70" t="s">
        <v>116</v>
      </c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</row>
    <row r="123" spans="2:23">
      <c r="C123" s="21" t="str">
        <f>Inputs!$C$23</f>
        <v>ES-PV1</v>
      </c>
      <c r="D123" s="21" t="str">
        <f>Inputs!$D$23</f>
        <v>Spain</v>
      </c>
      <c r="E123" s="21" t="str">
        <f>Inputs!$E$23</f>
        <v>Solar PV</v>
      </c>
      <c r="F123" s="81" t="s">
        <v>34</v>
      </c>
      <c r="G123" s="26">
        <f>IF($G$12=0,0,G99/$G$12)</f>
        <v>7.4893591898717984E-2</v>
      </c>
      <c r="I123" s="27">
        <f>IF(I$12=0,0,I99/I$12)</f>
        <v>0.11650799999999999</v>
      </c>
      <c r="J123" s="27">
        <f>IF(J$12=0,0,J99/J$12)</f>
        <v>0.11062824080808079</v>
      </c>
      <c r="K123" s="27">
        <f>IF(K$12=0,0,K99/K$12)</f>
        <v>0.10469788705159672</v>
      </c>
      <c r="L123" s="27">
        <f>IF(L$12=0,0,L99/L$12)</f>
        <v>9.8715983722825335E-2</v>
      </c>
      <c r="M123" s="27">
        <f>IF(M$12=0,0,M99/M$12)</f>
        <v>9.2681562347356472E-2</v>
      </c>
      <c r="N123" s="27">
        <f>IF(N$12=0,0,N99/N$12)</f>
        <v>8.6593640775956798E-2</v>
      </c>
      <c r="O123" s="27">
        <f>IF(O$12=0,0,O99/O$12)</f>
        <v>8.0451222973316125E-2</v>
      </c>
      <c r="P123" s="27">
        <f>IF(P$12=0,0,P99/P$12)</f>
        <v>7.4253298803626813E-2</v>
      </c>
      <c r="Q123" s="27">
        <f>IF(Q$12=0,0,Q99/Q$12)</f>
        <v>6.7998843812947768E-2</v>
      </c>
      <c r="R123" s="27">
        <f>IF(R$12=0,0,R99/R$12)</f>
        <v>6.168681900830783E-2</v>
      </c>
      <c r="S123" s="27">
        <f>IF(S$12=0,0,S99/S$12)</f>
        <v>5.5316170633494831E-2</v>
      </c>
      <c r="T123" s="27">
        <f>IF(T$12=0,0,T99/T$12)</f>
        <v>4.8885829941482738E-2</v>
      </c>
      <c r="U123" s="27">
        <f>IF(U$12=0,0,U99/U$12)</f>
        <v>4.2394712963445061E-2</v>
      </c>
      <c r="V123" s="27">
        <f>IF(V$12=0,0,V99/V$12)</f>
        <v>3.5841720274303941E-2</v>
      </c>
      <c r="W123" s="27">
        <f>IF(W$12=0,0,W99/W$12)</f>
        <v>2.9225736754761564E-2</v>
      </c>
    </row>
    <row r="124" spans="2:23">
      <c r="C124" s="22" t="str">
        <f>Inputs!$C$24</f>
        <v>PT-PV1</v>
      </c>
      <c r="D124" s="22" t="str">
        <f>Inputs!$D$24</f>
        <v>Portugal</v>
      </c>
      <c r="E124" s="22" t="str">
        <f>Inputs!$E$24</f>
        <v>Solar PV</v>
      </c>
      <c r="F124" s="82" t="s">
        <v>34</v>
      </c>
      <c r="G124" s="28">
        <f>IF($G$12=0,0,G100/$G$12)</f>
        <v>3.7991105139190837E-2</v>
      </c>
      <c r="H124" s="25"/>
      <c r="I124" s="29">
        <f>IF(I$12=0,0,I100/I$12)</f>
        <v>6.8133333333333337E-2</v>
      </c>
      <c r="J124" s="29">
        <f>IF(J$12=0,0,J100/J$12)</f>
        <v>6.3879670033670066E-2</v>
      </c>
      <c r="K124" s="29">
        <f>IF(K$12=0,0,K100/K$12)</f>
        <v>5.9588184848824902E-2</v>
      </c>
      <c r="L124" s="29">
        <f>IF(L$12=0,0,L100/L$12)</f>
        <v>5.5258174566491534E-2</v>
      </c>
      <c r="M124" s="29">
        <f>IF(M$12=0,0,M100/M$12)</f>
        <v>5.0888926015465297E-2</v>
      </c>
      <c r="N124" s="29">
        <f>IF(N$12=0,0,N100/N$12)</f>
        <v>4.6479715911952858E-2</v>
      </c>
      <c r="O124" s="29">
        <f>IF(O$12=0,0,O100/O$12)</f>
        <v>4.2029810703576177E-2</v>
      </c>
      <c r="P124" s="29">
        <f>IF(P$12=0,0,P100/P$12)</f>
        <v>3.7538466411038723E-2</v>
      </c>
      <c r="Q124" s="29">
        <f>IF(Q$12=0,0,Q100/Q$12)</f>
        <v>3.3004928467414894E-2</v>
      </c>
      <c r="R124" s="29">
        <f>IF(R$12=0,0,R100/R$12)</f>
        <v>2.842843155503158E-2</v>
      </c>
      <c r="S124" s="29">
        <f>IF(S$12=0,0,S100/S$12)</f>
        <v>2.3808199439899889E-2</v>
      </c>
      <c r="T124" s="29">
        <f>IF(T$12=0,0,T100/T$12)</f>
        <v>1.9143444803664641E-2</v>
      </c>
      <c r="U124" s="29">
        <f>IF(U$12=0,0,U100/U$12)</f>
        <v>1.4433369073031107E-2</v>
      </c>
      <c r="V124" s="29">
        <f>IF(V$12=0,0,V100/V$12)</f>
        <v>9.6771622466326548E-3</v>
      </c>
      <c r="W124" s="29">
        <f>IF(W$12=0,0,W100/W$12)</f>
        <v>4.8740027192991017E-3</v>
      </c>
    </row>
    <row r="125" spans="2:23">
      <c r="C125" s="21" t="str">
        <f>Inputs!$C$25</f>
        <v>IT-PV1</v>
      </c>
      <c r="D125" s="21" t="str">
        <f>Inputs!$D$25</f>
        <v>Italy (Sud)</v>
      </c>
      <c r="E125" s="21" t="str">
        <f>Inputs!$E$25</f>
        <v>Solar PV</v>
      </c>
      <c r="F125" s="81" t="s">
        <v>34</v>
      </c>
      <c r="G125" s="26">
        <f>IF($G$12=0,0,G101/$G$12)</f>
        <v>5.7450364181129421E-2</v>
      </c>
      <c r="I125" s="27">
        <f>IF(I$12=0,0,I101/I$12)</f>
        <v>0.15517714285714285</v>
      </c>
      <c r="J125" s="27">
        <f>IF(J$12=0,0,J101/J$12)</f>
        <v>0.13950950995670997</v>
      </c>
      <c r="K125" s="27">
        <f>IF(K$12=0,0,K101/K$12)</f>
        <v>0.12417569324640343</v>
      </c>
      <c r="L125" s="27">
        <f>IF(L$12=0,0,L101/L$12)</f>
        <v>0.10916701331366509</v>
      </c>
      <c r="M125" s="27">
        <f>IF(M$12=0,0,M101/M$12)</f>
        <v>9.4475007091348442E-2</v>
      </c>
      <c r="N125" s="27">
        <f>IF(N$12=0,0,N101/N$12)</f>
        <v>8.009142241956943E-2</v>
      </c>
      <c r="O125" s="27">
        <f>IF(O$12=0,0,O101/O$12)</f>
        <v>6.6008212744024089E-2</v>
      </c>
      <c r="P125" s="27">
        <f>IF(P$12=0,0,P101/P$12)</f>
        <v>5.221753194734275E-2</v>
      </c>
      <c r="Q125" s="27">
        <f>IF(Q$12=0,0,Q101/Q$12)</f>
        <v>3.8711729310144515E-2</v>
      </c>
      <c r="R125" s="27">
        <f>IF(R$12=0,0,R101/R$12)</f>
        <v>2.5483344598534831E-2</v>
      </c>
      <c r="S125" s="27">
        <f>IF(S$12=0,0,S101/S$12)</f>
        <v>1.2525103274872452E-2</v>
      </c>
      <c r="T125" s="27">
        <f>IF(T$12=0,0,T101/T$12)</f>
        <v>-1.7008817128957529E-4</v>
      </c>
      <c r="U125" s="27">
        <f>IF(U$12=0,0,U101/U$12)</f>
        <v>-1.2609146775102597E-2</v>
      </c>
      <c r="V125" s="27">
        <f>IF(V$12=0,0,V101/V$12)</f>
        <v>-2.4798817534106374E-2</v>
      </c>
      <c r="W125" s="27">
        <f>IF(W$12=0,0,W101/W$12)</f>
        <v>-3.6745677734561291E-2</v>
      </c>
    </row>
    <row r="126" spans="2:23">
      <c r="C126" s="22" t="str">
        <f>Inputs!$C$26</f>
        <v>GR-PV1</v>
      </c>
      <c r="D126" s="22" t="str">
        <f>Inputs!$D$26</f>
        <v>Greece</v>
      </c>
      <c r="E126" s="22" t="str">
        <f>Inputs!$E$26</f>
        <v>Solar PV</v>
      </c>
      <c r="F126" s="82" t="s">
        <v>34</v>
      </c>
      <c r="G126" s="28">
        <f>IF($G$12=0,0,G102/$G$12)</f>
        <v>0.11227447831823008</v>
      </c>
      <c r="H126" s="25"/>
      <c r="I126" s="29">
        <f>IF(I$12=0,0,I102/I$12)</f>
        <v>0.18041428571428569</v>
      </c>
      <c r="J126" s="29">
        <f>IF(J$12=0,0,J102/J$12)</f>
        <v>0.1701000598845599</v>
      </c>
      <c r="K126" s="29">
        <f>IF(K$12=0,0,K102/K$12)</f>
        <v>0.15986450369144189</v>
      </c>
      <c r="L126" s="29">
        <f>IF(L$12=0,0,L102/L$12)</f>
        <v>0.1497056616701013</v>
      </c>
      <c r="M126" s="29">
        <f>IF(M$12=0,0,M102/M$12)</f>
        <v>0.13962160001352769</v>
      </c>
      <c r="N126" s="29">
        <f>IF(N$12=0,0,N102/N$12)</f>
        <v>0.12961040616825065</v>
      </c>
      <c r="O126" s="29">
        <f>IF(O$12=0,0,O102/O$12)</f>
        <v>0.11967018843535709</v>
      </c>
      <c r="P126" s="29">
        <f>IF(P$12=0,0,P102/P$12)</f>
        <v>0.10979907557671513</v>
      </c>
      <c r="Q126" s="29">
        <f>IF(Q$12=0,0,Q102/Q$12)</f>
        <v>9.9995216426319561E-2</v>
      </c>
      <c r="R126" s="29">
        <f>IF(R$12=0,0,R102/R$12)</f>
        <v>9.0256779506673629E-2</v>
      </c>
      <c r="S126" s="29">
        <f>IF(S$12=0,0,S102/S$12)</f>
        <v>8.0581952650123689E-2</v>
      </c>
      <c r="T126" s="29">
        <f>IF(T$12=0,0,T102/T$12)</f>
        <v>7.0968942625062301E-2</v>
      </c>
      <c r="U126" s="29">
        <f>IF(U$12=0,0,U102/U$12)</f>
        <v>6.141597476691997E-2</v>
      </c>
      <c r="V126" s="29">
        <f>IF(V$12=0,0,V102/V$12)</f>
        <v>5.1921292613863031E-2</v>
      </c>
      <c r="W126" s="29">
        <f>IF(W$12=0,0,W102/W$12)</f>
        <v>4.248315754712121E-2</v>
      </c>
    </row>
    <row r="127" spans="2:23">
      <c r="C127" s="21" t="str">
        <f>Inputs!$C$27</f>
        <v>FR-WN1</v>
      </c>
      <c r="D127" s="21" t="str">
        <f>Inputs!$D$27</f>
        <v>France</v>
      </c>
      <c r="E127" s="21" t="str">
        <f>Inputs!$E$27</f>
        <v>Onshore wind</v>
      </c>
      <c r="F127" s="81" t="s">
        <v>34</v>
      </c>
      <c r="G127" s="26">
        <f>IF($G$12=0,0,G103/$G$12)</f>
        <v>-5.9977723020035283E-3</v>
      </c>
      <c r="I127" s="27">
        <f>IF(I$12=0,0,I103/I$12)</f>
        <v>-5.2142857142857E-3</v>
      </c>
      <c r="J127" s="27">
        <f>IF(J$12=0,0,J103/J$12)</f>
        <v>-5.319624819624817E-3</v>
      </c>
      <c r="K127" s="27">
        <f>IF(K$12=0,0,K103/K$12)</f>
        <v>-5.4270919876980963E-3</v>
      </c>
      <c r="L127" s="27">
        <f>IF(L$12=0,0,L103/L$12)</f>
        <v>-5.5367302096718122E-3</v>
      </c>
      <c r="M127" s="27">
        <f>IF(M$12=0,0,M103/M$12)</f>
        <v>-5.6485833452207179E-3</v>
      </c>
      <c r="N127" s="27">
        <f>IF(N$12=0,0,N103/N$12)</f>
        <v>-5.7626961400735997E-3</v>
      </c>
      <c r="O127" s="27">
        <f>IF(O$12=0,0,O103/O$12)</f>
        <v>-5.8791142439135234E-3</v>
      </c>
      <c r="P127" s="27">
        <f>IF(P$12=0,0,P103/P$12)</f>
        <v>-5.9978842286390679E-3</v>
      </c>
      <c r="Q127" s="27">
        <f>IF(Q$12=0,0,Q103/Q$12)</f>
        <v>-6.119053606995278E-3</v>
      </c>
      <c r="R127" s="27">
        <f>IF(R$12=0,0,R103/R$12)</f>
        <v>-6.2426708515810414E-3</v>
      </c>
      <c r="S127" s="27">
        <f>IF(S$12=0,0,S103/S$12)</f>
        <v>-6.3687854142394371E-3</v>
      </c>
      <c r="T127" s="27">
        <f>IF(T$12=0,0,T103/T$12)</f>
        <v>-6.4974477458400971E-3</v>
      </c>
      <c r="U127" s="27">
        <f>IF(U$12=0,0,U103/U$12)</f>
        <v>-6.6287093164630988E-3</v>
      </c>
      <c r="V127" s="27">
        <f>IF(V$12=0,0,V103/V$12)</f>
        <v>-6.7626226359877584E-3</v>
      </c>
      <c r="W127" s="27">
        <f>IF(W$12=0,0,W103/W$12)</f>
        <v>-6.8992412750985459E-3</v>
      </c>
    </row>
    <row r="128" spans="2:23">
      <c r="C128" s="22" t="str">
        <f>Inputs!$C$28</f>
        <v>DE-WN1</v>
      </c>
      <c r="D128" s="22" t="str">
        <f>Inputs!$D$28</f>
        <v>Germany</v>
      </c>
      <c r="E128" s="22" t="str">
        <f>Inputs!$E$28</f>
        <v>Onshore wind</v>
      </c>
      <c r="F128" s="82" t="s">
        <v>34</v>
      </c>
      <c r="G128" s="28">
        <f>IF($G$12=0,0,G104/$G$12)</f>
        <v>5.5825346317421535E-3</v>
      </c>
      <c r="H128" s="25"/>
      <c r="I128" s="29">
        <f>IF(I$12=0,0,I104/I$12)</f>
        <v>4.8805714285714306E-2</v>
      </c>
      <c r="J128" s="29">
        <f>IF(J$12=0,0,J104/J$12)</f>
        <v>4.3136363636363605E-2</v>
      </c>
      <c r="K128" s="29">
        <f>IF(K$12=0,0,K104/K$12)</f>
        <v>3.7318867899777008E-2</v>
      </c>
      <c r="L128" s="29">
        <f>IF(L$12=0,0,L104/L$12)</f>
        <v>3.1350064484541099E-2</v>
      </c>
      <c r="M128" s="29">
        <f>IF(M$12=0,0,M104/M$12)</f>
        <v>2.5226726051126452E-2</v>
      </c>
      <c r="N128" s="29">
        <f>IF(N$12=0,0,N104/N$12)</f>
        <v>1.8945559199514048E-2</v>
      </c>
      <c r="O128" s="29">
        <f>IF(O$12=0,0,O104/O$12)</f>
        <v>1.2503203130288541E-2</v>
      </c>
      <c r="P128" s="29">
        <f>IF(P$12=0,0,P104/P$12)</f>
        <v>5.8962282786602996E-3</v>
      </c>
      <c r="Q128" s="29">
        <f>IF(Q$12=0,0,Q104/Q$12)</f>
        <v>-8.7886507913178538E-4</v>
      </c>
      <c r="R128" s="29">
        <f>IF(R$12=0,0,R104/R$12)</f>
        <v>-7.8256482475892782E-3</v>
      </c>
      <c r="S128" s="29">
        <f>IF(S$12=0,0,S104/S$12)</f>
        <v>-1.4947765562471849E-2</v>
      </c>
      <c r="T128" s="29">
        <f>IF(T$12=0,0,T104/T$12)</f>
        <v>-2.2248935870639485E-2</v>
      </c>
      <c r="U128" s="29">
        <f>IF(U$12=0,0,U104/U$12)</f>
        <v>-2.9732954039811951E-2</v>
      </c>
      <c r="V128" s="29">
        <f>IF(V$12=0,0,V104/V$12)</f>
        <v>-3.7403692498852836E-2</v>
      </c>
      <c r="W128" s="29">
        <f>IF(W$12=0,0,W104/W$12)</f>
        <v>-4.5265102809191979E-2</v>
      </c>
    </row>
    <row r="129" spans="2:23">
      <c r="C129" s="21" t="str">
        <f>Inputs!$C$29</f>
        <v>NL-OW1</v>
      </c>
      <c r="D129" s="21" t="str">
        <f>Inputs!$D$29</f>
        <v>Netherlands</v>
      </c>
      <c r="E129" s="21" t="str">
        <f>Inputs!$E$29</f>
        <v>Offshore wind</v>
      </c>
      <c r="F129" s="81" t="s">
        <v>34</v>
      </c>
      <c r="G129" s="26">
        <f>IF($G$12=0,0,G105/$G$12)</f>
        <v>-6.3178592284148988E-2</v>
      </c>
      <c r="I129" s="27">
        <f>IF(I$12=0,0,I105/I$12)</f>
        <v>0</v>
      </c>
      <c r="J129" s="27">
        <f>IF(J$12=0,0,J105/J$12)</f>
        <v>-7.9636363636362614E-3</v>
      </c>
      <c r="K129" s="27">
        <f>IF(K$12=0,0,K105/K$12)</f>
        <v>-1.6208815426997043E-2</v>
      </c>
      <c r="L129" s="27">
        <f>IF(L$12=0,0,L105/L$12)</f>
        <v>-2.4743459387260809E-2</v>
      </c>
      <c r="M129" s="27">
        <f>IF(M$12=0,0,M105/M$12)</f>
        <v>-3.3575698704494686E-2</v>
      </c>
      <c r="N129" s="27">
        <f>IF(N$12=0,0,N105/N$12)</f>
        <v>-4.2713877443721411E-2</v>
      </c>
      <c r="O129" s="27">
        <f>IF(O$12=0,0,O105/O$12)</f>
        <v>-5.2166558752724822E-2</v>
      </c>
      <c r="P129" s="27">
        <f>IF(P$12=0,0,P105/P$12)</f>
        <v>-6.1942530479028528E-2</v>
      </c>
      <c r="Q129" s="27">
        <f>IF(Q$12=0,0,Q105/Q$12)</f>
        <v>-7.2050810929573009E-2</v>
      </c>
      <c r="R129" s="27">
        <f>IF(R$12=0,0,R105/R$12)</f>
        <v>-8.250065477670103E-2</v>
      </c>
      <c r="S129" s="27">
        <f>IF(S$12=0,0,S105/S$12)</f>
        <v>-9.3301559114157162E-2</v>
      </c>
      <c r="T129" s="27">
        <f>IF(T$12=0,0,T105/T$12)</f>
        <v>-0.10446326966689612</v>
      </c>
      <c r="U129" s="27">
        <f>IF(U$12=0,0,U105/U$12)</f>
        <v>-0.1159957871585942</v>
      </c>
      <c r="V129" s="27">
        <f>IF(V$12=0,0,V105/V$12)</f>
        <v>-0.12790937384085499</v>
      </c>
      <c r="W129" s="27">
        <f>IF(W$12=0,0,W105/W$12)</f>
        <v>-0.14021456018820169</v>
      </c>
    </row>
    <row r="130" spans="2:23">
      <c r="C130" s="22" t="str">
        <f>Inputs!$C$30</f>
        <v>PL-WN1</v>
      </c>
      <c r="D130" s="22" t="str">
        <f>Inputs!$D$30</f>
        <v>Poland</v>
      </c>
      <c r="E130" s="22" t="str">
        <f>Inputs!$E$30</f>
        <v>Onshore wind</v>
      </c>
      <c r="F130" s="82" t="s">
        <v>34</v>
      </c>
      <c r="G130" s="28">
        <f>IF($G$12=0,0,G106/$G$12)</f>
        <v>2.7113985289457479E-2</v>
      </c>
      <c r="H130" s="25"/>
      <c r="I130" s="29">
        <f>IF(I$12=0,0,I106/I$12)</f>
        <v>0.11758214285714284</v>
      </c>
      <c r="J130" s="29">
        <f>IF(J$12=0,0,J106/J$12)</f>
        <v>0.10511130952380947</v>
      </c>
      <c r="K130" s="29">
        <f>IF(K$12=0,0,K106/K$12)</f>
        <v>9.2463521123937797E-2</v>
      </c>
      <c r="L130" s="29">
        <f>IF(L$12=0,0,L106/L$12)</f>
        <v>7.9634824115979511E-2</v>
      </c>
      <c r="M130" s="29">
        <f>IF(M$12=0,0,M106/M$12)</f>
        <v>6.6621187001444274E-2</v>
      </c>
      <c r="N130" s="29">
        <f>IF(N$12=0,0,N106/N$12)</f>
        <v>5.341849874035369E-2</v>
      </c>
      <c r="O130" s="29">
        <f>IF(O$12=0,0,O106/O$12)</f>
        <v>4.0022567134729528E-2</v>
      </c>
      <c r="P130" s="29">
        <f>IF(P$12=0,0,P106/P$12)</f>
        <v>2.6429117179478611E-2</v>
      </c>
      <c r="Q130" s="29">
        <f>IF(Q$12=0,0,Q106/Q$12)</f>
        <v>1.2633789380005509E-2</v>
      </c>
      <c r="R130" s="29">
        <f>IF(R$12=0,0,R106/R$12)</f>
        <v>-1.367861964110434E-3</v>
      </c>
      <c r="S130" s="29">
        <f>IF(S$12=0,0,S106/S$12)</f>
        <v>-1.5580370510064778E-2</v>
      </c>
      <c r="T130" s="29">
        <f>IF(T$12=0,0,T106/T$12)</f>
        <v>-3.0008359658104417E-2</v>
      </c>
      <c r="U130" s="29">
        <f>IF(U$12=0,0,U106/U$12)</f>
        <v>-4.4656544373840756E-2</v>
      </c>
      <c r="V130" s="29">
        <f>IF(V$12=0,0,V106/V$12)</f>
        <v>-5.95297330473308E-2</v>
      </c>
      <c r="W130" s="29">
        <f>IF(W$12=0,0,W106/W$12)</f>
        <v>-7.4632829389669766E-2</v>
      </c>
    </row>
    <row r="131" spans="2:23">
      <c r="C131" s="21" t="str">
        <f>Inputs!$C$31</f>
        <v>SE-WN1</v>
      </c>
      <c r="D131" s="21" t="str">
        <f>Inputs!$D$31</f>
        <v>Sweden (SE3)</v>
      </c>
      <c r="E131" s="21" t="str">
        <f>Inputs!$E$31</f>
        <v>Onshore wind</v>
      </c>
      <c r="F131" s="81" t="s">
        <v>34</v>
      </c>
      <c r="G131" s="26">
        <f>IF($G$12=0,0,G107/$G$12)</f>
        <v>5.8851523302053836E-2</v>
      </c>
      <c r="I131" s="27">
        <f>IF(I$12=0,0,I107/I$12)</f>
        <v>6.1945714285714291E-2</v>
      </c>
      <c r="J131" s="27">
        <f>IF(J$12=0,0,J107/J$12)</f>
        <v>6.1632857142857086E-2</v>
      </c>
      <c r="K131" s="27">
        <f>IF(K$12=0,0,K107/K$12)</f>
        <v>6.1289978354978306E-2</v>
      </c>
      <c r="L131" s="27">
        <f>IF(L$12=0,0,L107/L$12)</f>
        <v>6.0916112313612242E-2</v>
      </c>
      <c r="M131" s="27">
        <f>IF(M$12=0,0,M107/M$12)</f>
        <v>6.0510268461981938E-2</v>
      </c>
      <c r="N131" s="27">
        <f>IF(N$12=0,0,N107/N$12)</f>
        <v>6.007143070855292E-2</v>
      </c>
      <c r="O131" s="27">
        <f>IF(O$12=0,0,O107/O$12)</f>
        <v>5.9598556827489067E-2</v>
      </c>
      <c r="P131" s="27">
        <f>IF(P$12=0,0,P107/P$12)</f>
        <v>5.909057784572995E-2</v>
      </c>
      <c r="Q131" s="27">
        <f>IF(Q$12=0,0,Q107/Q$12)</f>
        <v>5.8546397416397826E-2</v>
      </c>
      <c r="R131" s="27">
        <f>IF(R$12=0,0,R107/R$12)</f>
        <v>5.7964891178240122E-2</v>
      </c>
      <c r="S131" s="27">
        <f>IF(S$12=0,0,S107/S$12)</f>
        <v>5.7344906100803603E-2</v>
      </c>
      <c r="T131" s="27">
        <f>IF(T$12=0,0,T107/T$12)</f>
        <v>5.6685259815034701E-2</v>
      </c>
      <c r="U131" s="27">
        <f>IF(U$12=0,0,U107/U$12)</f>
        <v>5.5984739928988073E-2</v>
      </c>
      <c r="V131" s="27">
        <f>IF(V$12=0,0,V107/V$12)</f>
        <v>5.5242103328324535E-2</v>
      </c>
      <c r="W131" s="27">
        <f>IF(W$12=0,0,W107/W$12)</f>
        <v>5.4456075461268051E-2</v>
      </c>
    </row>
    <row r="132" spans="2:23">
      <c r="C132" s="22" t="str">
        <f>Inputs!$C$32</f>
        <v>FI-WN1</v>
      </c>
      <c r="D132" s="22" t="str">
        <f>Inputs!$D$32</f>
        <v>Finland</v>
      </c>
      <c r="E132" s="22" t="str">
        <f>Inputs!$E$32</f>
        <v>Onshore wind</v>
      </c>
      <c r="F132" s="82" t="s">
        <v>34</v>
      </c>
      <c r="G132" s="28">
        <f>IF($G$12=0,0,G108/$G$12)</f>
        <v>7.8487612778442226E-3</v>
      </c>
      <c r="H132" s="25"/>
      <c r="I132" s="29">
        <f>IF(I$12=0,0,I108/I$12)</f>
        <v>4.2583333333333348E-2</v>
      </c>
      <c r="J132" s="29">
        <f>IF(J$12=0,0,J108/J$12)</f>
        <v>3.7913299663299656E-2</v>
      </c>
      <c r="K132" s="29">
        <f>IF(K$12=0,0,K108/K$12)</f>
        <v>3.3148921878719845E-2</v>
      </c>
      <c r="L132" s="29">
        <f>IF(L$12=0,0,L108/L$12)</f>
        <v>2.8288294037885898E-2</v>
      </c>
      <c r="M132" s="29">
        <f>IF(M$12=0,0,M108/M$12)</f>
        <v>2.3329471695216864E-2</v>
      </c>
      <c r="N132" s="29">
        <f>IF(N$12=0,0,N108/N$12)</f>
        <v>1.8270471123403114E-2</v>
      </c>
      <c r="O132" s="29">
        <f>IF(O$12=0,0,O108/O$12)</f>
        <v>1.3109268519835468E-2</v>
      </c>
      <c r="P132" s="29">
        <f>IF(P$12=0,0,P108/P$12)</f>
        <v>7.8437991970039186E-3</v>
      </c>
      <c r="Q132" s="29">
        <f>IF(Q$12=0,0,Q108/Q$12)</f>
        <v>2.4719567565393008E-3</v>
      </c>
      <c r="R132" s="29">
        <f>IF(R$12=0,0,R108/R$12)</f>
        <v>-3.0084077534296453E-3</v>
      </c>
      <c r="S132" s="29">
        <f>IF(S$12=0,0,S108/S$12)</f>
        <v>-8.5994866979433905E-3</v>
      </c>
      <c r="T132" s="29">
        <f>IF(T$12=0,0,T108/T$12)</f>
        <v>-1.4303516732245206E-2</v>
      </c>
      <c r="U132" s="29">
        <f>IF(U$12=0,0,U108/U$12)</f>
        <v>-2.012277969653303E-2</v>
      </c>
      <c r="V132" s="29">
        <f>IF(V$12=0,0,V108/V$12)</f>
        <v>-2.6059603528786286E-2</v>
      </c>
      <c r="W132" s="29">
        <f>IF(W$12=0,0,W108/W$12)</f>
        <v>-3.2116363196034448E-2</v>
      </c>
    </row>
    <row r="134" spans="2:23">
      <c r="B134" s="70">
        <f>+B122+1</f>
        <v>12</v>
      </c>
      <c r="C134" s="70" t="s">
        <v>117</v>
      </c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</row>
    <row r="135" spans="2:23">
      <c r="C135" s="3" t="s">
        <v>118</v>
      </c>
      <c r="G135" s="83">
        <f>IF(G6=MIN(Tenor,20),0,1)</f>
        <v>0</v>
      </c>
    </row>
    <row r="136" spans="2:23">
      <c r="C136" s="3" t="s">
        <v>119</v>
      </c>
      <c r="G136" s="83">
        <f>IF(ABS(SUM(G99:G108)-SUM(G75:G84)+SUM(G87:G96))&lt;0.01,0,1)</f>
        <v>0</v>
      </c>
    </row>
    <row r="137" spans="2:23">
      <c r="C137" s="3" t="s">
        <v>120</v>
      </c>
      <c r="G137" s="83">
        <f>IF(ABS(SUM(G111:G120)+SUM(G99:G108)-10*G12)&lt;0.01,0,1)</f>
        <v>0</v>
      </c>
    </row>
    <row r="138" spans="2:23">
      <c r="C138" s="3" t="s">
        <v>121</v>
      </c>
      <c r="G138" s="112">
        <f>IF(AND(Tenor&gt;=1,Tenor&lt;=20),0,1)</f>
        <v>0</v>
      </c>
    </row>
    <row r="139" spans="2:23">
      <c r="C139" s="14" t="s">
        <v>122</v>
      </c>
      <c r="G139" s="84">
        <f>SUM(G135:G138)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5C33"/>
  </sheetPr>
  <dimension ref="A1:T22"/>
  <sheetViews>
    <sheetView showGridLines="0" zoomScaleNormal="100" workbookViewId="0">
      <selection activeCell="C2" sqref="C2"/>
    </sheetView>
  </sheetViews>
  <sheetFormatPr defaultColWidth="8.625" defaultRowHeight="14.25" customHeight="1"/>
  <cols>
    <col min="1" max="2" width="2.625" customWidth="1"/>
    <col min="3" max="3" width="11" customWidth="1"/>
    <col min="4" max="5" width="14" customWidth="1"/>
    <col min="6" max="6" width="10" customWidth="1"/>
    <col min="7" max="7" width="12" customWidth="1"/>
    <col min="8" max="10" width="11" customWidth="1"/>
    <col min="11" max="12" width="12" customWidth="1"/>
    <col min="13" max="13" width="11" customWidth="1"/>
    <col min="14" max="15" width="12" customWidth="1"/>
    <col min="16" max="16" width="11" customWidth="1"/>
    <col min="17" max="17" width="10.625" customWidth="1"/>
    <col min="18" max="18" width="13" customWidth="1"/>
    <col min="19" max="19" width="13.375" customWidth="1"/>
  </cols>
  <sheetData>
    <row r="1" spans="1:20" ht="24" customHeight="1">
      <c r="A1" s="1"/>
      <c r="B1" s="1"/>
      <c r="C1" s="58" t="s">
        <v>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>
      <c r="A2" s="1"/>
      <c r="B2" s="1"/>
      <c r="C2" s="2" t="s">
        <v>123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0"/>
    <row r="4" spans="1:20">
      <c r="B4" s="70">
        <v>1</v>
      </c>
      <c r="C4" s="70" t="s">
        <v>124</v>
      </c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</row>
    <row r="5" spans="1:20">
      <c r="C5" s="3" t="s">
        <v>125</v>
      </c>
      <c r="E5" s="109" t="str">
        <f>INDEX($C$13:$C$22,MATCH(MAX($M$13:$M$22),$M$13:$M$22,0))&amp;" - "&amp;INDEX($D$13:$D$22,MATCH(MAX($M$13:$M$22),$M$13:$M$22,0))</f>
        <v>GR-PV1 - Greece</v>
      </c>
    </row>
    <row r="6" spans="1:20">
      <c r="C6" s="3" t="s">
        <v>126</v>
      </c>
      <c r="E6" s="91">
        <f>MAX($M$13:$M$22)</f>
        <v>26327.074756521863</v>
      </c>
      <c r="T6" t="s">
        <v>27</v>
      </c>
    </row>
    <row r="7" spans="1:20">
      <c r="C7" s="3" t="s">
        <v>127</v>
      </c>
      <c r="E7" s="14" t="str">
        <f>COUNTIF($M$13:$M$22,"&gt;0")&amp;" of 10"</f>
        <v>8 of 10</v>
      </c>
    </row>
    <row r="8" spans="1:20">
      <c r="C8" s="3" t="s">
        <v>128</v>
      </c>
      <c r="E8" s="5" t="str">
        <f>Scenario</f>
        <v>Base</v>
      </c>
    </row>
    <row r="9" spans="1:20"/>
    <row r="10" spans="1:20">
      <c r="B10" s="70">
        <f>+B4+1</f>
        <v>2</v>
      </c>
      <c r="C10" s="70" t="s">
        <v>129</v>
      </c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</row>
    <row r="11" spans="1:20" s="59" customFormat="1">
      <c r="B11" s="60"/>
      <c r="C11" s="60"/>
    </row>
    <row r="12" spans="1:20" ht="37.5" customHeight="1">
      <c r="C12" s="9" t="s">
        <v>51</v>
      </c>
      <c r="D12" s="9" t="s">
        <v>130</v>
      </c>
      <c r="E12" s="9" t="s">
        <v>53</v>
      </c>
      <c r="F12" s="9" t="s">
        <v>54</v>
      </c>
      <c r="G12" s="9" t="s">
        <v>131</v>
      </c>
      <c r="H12" s="9" t="s">
        <v>132</v>
      </c>
      <c r="I12" s="9" t="s">
        <v>133</v>
      </c>
      <c r="J12" s="9" t="s">
        <v>134</v>
      </c>
      <c r="K12" s="9" t="s">
        <v>135</v>
      </c>
      <c r="L12" s="9" t="s">
        <v>136</v>
      </c>
      <c r="M12" s="9" t="s">
        <v>137</v>
      </c>
      <c r="N12" s="9" t="s">
        <v>138</v>
      </c>
      <c r="O12" s="9" t="s">
        <v>139</v>
      </c>
      <c r="P12" s="9" t="s">
        <v>140</v>
      </c>
      <c r="Q12" s="9" t="s">
        <v>141</v>
      </c>
      <c r="R12" s="9" t="s">
        <v>142</v>
      </c>
      <c r="S12" s="9" t="s">
        <v>143</v>
      </c>
    </row>
    <row r="13" spans="1:20">
      <c r="C13" s="34" t="str">
        <f>Inputs!$C$23</f>
        <v>ES-PV1</v>
      </c>
      <c r="D13" s="34" t="str">
        <f>Inputs!$D$23</f>
        <v>Spain</v>
      </c>
      <c r="E13" s="34" t="str">
        <f>Inputs!$E$23</f>
        <v>Solar PV</v>
      </c>
      <c r="F13" s="35">
        <f>Inputs!$F$23</f>
        <v>95</v>
      </c>
      <c r="G13" s="110">
        <f>Calc!G15/1000</f>
        <v>2531.638374274276</v>
      </c>
      <c r="H13" s="36">
        <f>Calc!G27</f>
        <v>0.70323288174285448</v>
      </c>
      <c r="I13" s="37">
        <f>Calc!G39</f>
        <v>51.173411329981917</v>
      </c>
      <c r="J13" s="37">
        <f>Inputs!$N$23</f>
        <v>38</v>
      </c>
      <c r="K13" s="37">
        <f>Calc!G63</f>
        <v>10.432550758731452</v>
      </c>
      <c r="L13" s="38">
        <f>Calc!G99</f>
        <v>26411.445842368761</v>
      </c>
      <c r="M13" s="92">
        <f>SUMPRODUCT(Calc!I99:W99,Calc!I$7:W$7)</f>
        <v>17459.18372991827</v>
      </c>
      <c r="N13" s="39">
        <f>IF(G13=0,0,M13/(G13*1000)*1000)</f>
        <v>6.8963971739933623</v>
      </c>
      <c r="O13" s="37">
        <f>IFERROR(J13*SUMPRODUCT(Calc!I75:W75,Calc!I$7:W$7)/SUMPRODUCT(Calc!I87:W87,Calc!I$7:W$7),0)</f>
        <v>49.006492864736416</v>
      </c>
      <c r="P13" s="39">
        <f>O13-J13</f>
        <v>11.006492864736416</v>
      </c>
      <c r="Q13" s="36">
        <f>Calc!G123</f>
        <v>7.4893591898717984E-2</v>
      </c>
      <c r="R13" s="40">
        <f>RANK(M13,$M$13:$M$22,0)</f>
        <v>2</v>
      </c>
      <c r="S13" s="41" t="str">
        <f>IF(M13&gt;0,"Value accretive","Out of the money")</f>
        <v>Value accretive</v>
      </c>
    </row>
    <row r="14" spans="1:20">
      <c r="C14" s="42" t="str">
        <f>Inputs!$C$24</f>
        <v>PT-PV1</v>
      </c>
      <c r="D14" s="42" t="str">
        <f>Inputs!$D$24</f>
        <v>Portugal</v>
      </c>
      <c r="E14" s="42" t="str">
        <f>Inputs!$E$24</f>
        <v>Solar PV</v>
      </c>
      <c r="F14" s="43">
        <f>Inputs!$F$24</f>
        <v>70</v>
      </c>
      <c r="G14" s="111">
        <f>Calc!G16/1000</f>
        <v>1776.5883328240534</v>
      </c>
      <c r="H14" s="44">
        <f>Calc!G28</f>
        <v>0.49349675911779262</v>
      </c>
      <c r="I14" s="45">
        <f>Calc!G40</f>
        <v>50.426354230274164</v>
      </c>
      <c r="J14" s="45">
        <f>Inputs!$N$24</f>
        <v>40</v>
      </c>
      <c r="K14" s="45">
        <f>Calc!G64</f>
        <v>7.5412378394842108</v>
      </c>
      <c r="L14" s="46">
        <f>Calc!G100</f>
        <v>13397.675160678897</v>
      </c>
      <c r="M14" s="93">
        <f>SUMPRODUCT(Calc!I100:W100,Calc!I$7:W$7)</f>
        <v>9229.3406528841406</v>
      </c>
      <c r="N14" s="47">
        <f>IF(G14=0,0,M14/(G14*1000)*1000)</f>
        <v>5.1949798849648188</v>
      </c>
      <c r="O14" s="45">
        <f>IFERROR(J14*SUMPRODUCT(Calc!I76:W76,Calc!I$7:W$7)/SUMPRODUCT(Calc!I88:W88,Calc!I$7:W$7),0)</f>
        <v>48.291069611236608</v>
      </c>
      <c r="P14" s="47">
        <f>O14-J14</f>
        <v>8.2910696112366082</v>
      </c>
      <c r="Q14" s="44">
        <f>Calc!G124</f>
        <v>3.7991105139190837E-2</v>
      </c>
      <c r="R14" s="48">
        <f>RANK(M14,$M$13:$M$22,0)</f>
        <v>6</v>
      </c>
      <c r="S14" s="49" t="str">
        <f>IF(M14&gt;0,"Value accretive","Out of the money")</f>
        <v>Value accretive</v>
      </c>
    </row>
    <row r="15" spans="1:20">
      <c r="C15" s="34" t="str">
        <f>Inputs!$C$25</f>
        <v>IT-PV1</v>
      </c>
      <c r="D15" s="34" t="str">
        <f>Inputs!$D$25</f>
        <v>Italy (Sud)</v>
      </c>
      <c r="E15" s="34" t="str">
        <f>Inputs!$E$25</f>
        <v>Solar PV</v>
      </c>
      <c r="F15" s="35">
        <f>Inputs!$F$25</f>
        <v>80</v>
      </c>
      <c r="G15" s="110">
        <f>Calc!G17/1000</f>
        <v>1827.3479994761692</v>
      </c>
      <c r="H15" s="36">
        <f>Calc!G29</f>
        <v>0.50759666652115809</v>
      </c>
      <c r="I15" s="37">
        <f>Calc!G41</f>
        <v>89.087127465878496</v>
      </c>
      <c r="J15" s="37">
        <f>Inputs!$N$25</f>
        <v>78</v>
      </c>
      <c r="K15" s="37">
        <f>Calc!G65</f>
        <v>11.087127465878481</v>
      </c>
      <c r="L15" s="38">
        <f>Calc!G101</f>
        <v>20260.040194710375</v>
      </c>
      <c r="M15" s="92">
        <f>SUMPRODUCT(Calc!I101:W101,Calc!I$7:W$7)</f>
        <v>15882.636815151956</v>
      </c>
      <c r="N15" s="39">
        <f>IF(G15=0,0,M15/(G15*1000)*1000)</f>
        <v>8.6916322559823858</v>
      </c>
      <c r="O15" s="37">
        <f>IFERROR(J15*SUMPRODUCT(Calc!I77:W77,Calc!I$7:W$7)/SUMPRODUCT(Calc!I89:W89,Calc!I$7:W$7),0)</f>
        <v>92.677410339848677</v>
      </c>
      <c r="P15" s="39">
        <f>J15-O15</f>
      </c>
      <c r="Q15" s="36">
        <f>Calc!G125</f>
        <v>5.7450364181129421E-2</v>
      </c>
      <c r="R15" s="40">
        <f>RANK(M15,$M$13:$M$22,0)</f>
        <v>3</v>
      </c>
      <c r="S15" s="41" t="str">
        <f>IF(M15&gt;0,"Value accretive","Out of the money")</f>
        <v>Value accretive</v>
      </c>
    </row>
    <row r="16" spans="1:20">
      <c r="C16" s="42" t="str">
        <f>Inputs!$C$26</f>
        <v>GR-PV1</v>
      </c>
      <c r="D16" s="42" t="str">
        <f>Inputs!$D$26</f>
        <v>Greece</v>
      </c>
      <c r="E16" s="42" t="str">
        <f>Inputs!$E$26</f>
        <v>Solar PV</v>
      </c>
      <c r="F16" s="43">
        <f>Inputs!$F$26</f>
        <v>75</v>
      </c>
      <c r="G16" s="111">
        <f>Calc!G18/1000</f>
        <v>1903.4874994543432</v>
      </c>
      <c r="H16" s="44">
        <f>Calc!G30</f>
        <v>0.52874652762620644</v>
      </c>
      <c r="I16" s="45">
        <f>Calc!G42</f>
        <v>80.847351051632415</v>
      </c>
      <c r="J16" s="45">
        <f>Inputs!$N$26</f>
        <v>58</v>
      </c>
      <c r="K16" s="45">
        <f>Calc!G66</f>
        <v>20.800727919155356</v>
      </c>
      <c r="L16" s="46">
        <f>Calc!G102</f>
        <v>39593.925573663124</v>
      </c>
      <c r="M16" s="93">
        <f>SUMPRODUCT(Calc!I102:W102,Calc!J$7:X$7)</f>
      </c>
      <c r="N16" s="47">
        <f>IF(G16=0,0,M16/(G16*1000)*1000)</f>
        <v>13.830968033185837</v>
      </c>
      <c r="O16" s="45">
        <f>IFERROR(J16*SUMPRODUCT(Calc!I78:W78,Calc!I$7:W$7)/SUMPRODUCT(Calc!I90:W90,Calc!I$7:W$7),0)</f>
        <v>80.709319532761299</v>
      </c>
      <c r="P16" s="47">
        <f>O16-J16</f>
        <v>22.709319532761299</v>
      </c>
      <c r="Q16" s="44">
        <f>Calc!G126</f>
        <v>0.11227447831823008</v>
      </c>
      <c r="R16" s="48">
        <f>RANK(M16,$M$13:$M$22,0)</f>
        <v>1</v>
      </c>
      <c r="S16" s="49" t="str">
        <f>IF(M16&gt;0,"Value accretive","Out of the money")</f>
        <v>Value accretive</v>
      </c>
    </row>
    <row r="17" spans="3:19">
      <c r="C17" s="34" t="str">
        <f>Inputs!$C$27</f>
        <v>FR-WN1</v>
      </c>
      <c r="D17" s="34" t="str">
        <f>Inputs!$D$27</f>
        <v>France</v>
      </c>
      <c r="E17" s="34" t="str">
        <f>Inputs!$E$27</f>
        <v>Onshore wind</v>
      </c>
      <c r="F17" s="35">
        <f>Inputs!$F$27</f>
        <v>60</v>
      </c>
      <c r="G17" s="110">
        <f>Calc!G19/1000</f>
        <v>1971</v>
      </c>
      <c r="H17" s="36">
        <f>Calc!G31</f>
        <v>0.54749999999999999</v>
      </c>
      <c r="I17" s="37">
        <f>Calc!G43</f>
        <v>67.606961255399398</v>
      </c>
      <c r="J17" s="37">
        <f>Inputs!$N$27</f>
        <v>64</v>
      </c>
      <c r="K17" s="37">
        <f>Calc!G67</f>
        <v>-1.0731263691333197</v>
      </c>
      <c r="L17" s="38">
        <f>Calc!G103</f>
        <v>-2115.1320735617865</v>
      </c>
      <c r="M17" s="92">
        <f>SUMPRODUCT(Calc!I103:W103,Calc!I$7:W$7)</f>
        <v>-1227.9040090470257</v>
      </c>
      <c r="N17" s="39">
        <f>IF(G17=0,0,M17/(G17*1000)*1000)</f>
        <v>-0.62298529124658841</v>
      </c>
      <c r="O17" s="37">
        <f>IFERROR(J17*SUMPRODUCT(Calc!I79:W79,Calc!I$7:W$7)/SUMPRODUCT(Calc!I91:W91,Calc!I$7:W$7),0)</f>
        <v>63</v>
      </c>
      <c r="P17" s="39">
        <f>O17-J17</f>
        <v>-1</v>
      </c>
      <c r="Q17" s="36">
        <f>Calc!G127</f>
        <v>-5.9977723020035283E-3</v>
      </c>
      <c r="R17" s="40">
        <f>RANK(M17,$M$13:$M$22,0)</f>
        <v>9</v>
      </c>
      <c r="S17" s="41" t="str">
        <f>IF(M17&gt;0,"Value accretive","Out of the money")</f>
        <v>Out of the money</v>
      </c>
    </row>
    <row r="18" spans="3:19">
      <c r="C18" s="42" t="str">
        <f>Inputs!$C$28</f>
        <v>DE-WN1</v>
      </c>
      <c r="D18" s="42" t="str">
        <f>Inputs!$D$28</f>
        <v>Germany</v>
      </c>
      <c r="E18" s="42" t="str">
        <f>Inputs!$E$28</f>
        <v>Onshore wind</v>
      </c>
      <c r="F18" s="43">
        <f>Inputs!$F$28</f>
        <v>65</v>
      </c>
      <c r="G18" s="111">
        <f>Calc!G20/1000</f>
        <v>2049.84</v>
      </c>
      <c r="H18" s="44">
        <f>Calc!G32</f>
        <v>0.56940000000000002</v>
      </c>
      <c r="I18" s="45">
        <f>Calc!G44</f>
        <v>78.225513676205878</v>
      </c>
      <c r="J18" s="45">
        <f>Inputs!$N$28</f>
        <v>72</v>
      </c>
      <c r="K18" s="45">
        <f>Calc!G68</f>
        <v>0.9604150986065747</v>
      </c>
      <c r="L18" s="46">
        <f>Calc!G104</f>
        <v>1968.6972857277233</v>
      </c>
      <c r="M18" s="93">
        <f>SUMPRODUCT(Calc!I104:W104,Calc!I$7:W$7)</f>
        <v>3010.0847984640413</v>
      </c>
      <c r="N18" s="47">
        <f>IF(G18=0,0,M18/(G18*1000)*1000)</f>
        <v>1.4684486586582566</v>
      </c>
      <c r="O18" s="45">
        <f>IFERROR(J18*SUMPRODUCT(Calc!I80:W80,Calc!I$7:W$7)/SUMPRODUCT(Calc!I92:W92,Calc!I$7:W$7),0)</f>
        <v>74.357116097749156</v>
      </c>
      <c r="P18" s="47">
        <f>O18-J18</f>
        <v>2.3571160977491559</v>
      </c>
      <c r="Q18" s="44">
        <f>Calc!G128</f>
        <v>5.5825346317421535E-3</v>
      </c>
      <c r="R18" s="48">
        <f>RANK(M18,$M$13:$M$22,0)</f>
        <v>8</v>
      </c>
      <c r="S18" s="49" t="str">
        <f>IF(M18&gt;0,"Value accretive","Out of the money")</f>
        <v>Value accretive</v>
      </c>
    </row>
    <row r="19" spans="3:19">
      <c r="C19" s="34" t="str">
        <f>Inputs!$C$29</f>
        <v>NL-OW1</v>
      </c>
      <c r="D19" s="34" t="str">
        <f>Inputs!$D$29</f>
        <v>Netherlands</v>
      </c>
      <c r="E19" s="34" t="str">
        <f>Inputs!$E$29</f>
        <v>Offshore wind</v>
      </c>
      <c r="F19" s="35">
        <f>Inputs!$F$29</f>
        <v>45</v>
      </c>
      <c r="G19" s="110">
        <f>Calc!G21/1000</f>
        <v>2483.46</v>
      </c>
      <c r="H19" s="36">
        <f>Calc!G33</f>
        <v>0.68984999999999996</v>
      </c>
      <c r="I19" s="37">
        <f>Calc!G45</f>
        <v>79.999999999999986</v>
      </c>
      <c r="J19" s="37">
        <f>Inputs!$N$29</f>
        <v>80</v>
      </c>
      <c r="K19" s="37">
        <f>Calc!G69</f>
        <v>-8.9714014771090973</v>
      </c>
      <c r="L19" s="38">
        <f>Calc!G105</f>
        <v>-22280.116712341329</v>
      </c>
      <c r="M19" s="92">
        <f>SUMPRODUCT(Calc!I105:W105,Calc!I$7:W$7)</f>
        <v>-10554.611758247011</v>
      </c>
      <c r="N19" s="39">
        <f>IF(G19=0,0,M19/(G19*1000)*1000)</f>
        <v>-4.2499624549004258</v>
      </c>
      <c r="O19" s="37">
        <f>IFERROR(J19*SUMPRODUCT(Calc!I81:W81,Calc!I$7:W$7)/SUMPRODUCT(Calc!I93:W93,Calc!I$7:W$7),0)</f>
        <v>73.373826548106265</v>
      </c>
      <c r="P19" s="39">
        <f>O19-J19</f>
        <v>-6.6261734518937345</v>
      </c>
      <c r="Q19" s="36">
        <f>Calc!G129</f>
        <v>-6.3178592284148988E-2</v>
      </c>
      <c r="R19" s="40">
        <f>RANK(M19,$M$13:$M$22,0)</f>
        <v>10</v>
      </c>
      <c r="S19" s="41" t="str">
        <f>IF(M19&gt;0,"Value accretive","Out of the money")</f>
        <v>Out of the money</v>
      </c>
    </row>
    <row r="20" spans="3:19">
      <c r="C20" s="42" t="str">
        <f>Inputs!$C$30</f>
        <v>PL-WN1</v>
      </c>
      <c r="D20" s="42" t="str">
        <f>Inputs!$D$30</f>
        <v>Poland</v>
      </c>
      <c r="E20" s="42" t="str">
        <f>Inputs!$E$30</f>
        <v>Onshore wind</v>
      </c>
      <c r="F20" s="43">
        <f>Inputs!$F$30</f>
        <v>55</v>
      </c>
      <c r="G20" s="111">
        <f>Calc!G22/1000</f>
        <v>2168.1</v>
      </c>
      <c r="H20" s="44">
        <f>Calc!G34</f>
        <v>0.60224999999999995</v>
      </c>
      <c r="I20" s="45">
        <f>Calc!G46</f>
        <v>92.406595560002714</v>
      </c>
      <c r="J20" s="45">
        <f>Inputs!$N$30</f>
        <v>82</v>
      </c>
      <c r="K20" s="45">
        <f>Calc!G70</f>
        <v>4.4102332910701847</v>
      </c>
      <c r="L20" s="46">
        <f>Calc!G106</f>
        <v>9561.8267983692185</v>
      </c>
      <c r="M20" s="93">
        <f>SUMPRODUCT(Calc!I106:W106,Calc!I$7:W$7)</f>
        <v>9467.739375434734</v>
      </c>
      <c r="N20" s="47">
        <f>IF(G20=0,0,M20/(G20*1000)*1000)</f>
        <v>4.3668370349313843</v>
      </c>
      <c r="O20" s="45">
        <f>IFERROR(J20*SUMPRODUCT(Calc!I82:W82,Calc!I$7:W$7)/SUMPRODUCT(Calc!I94:W94,Calc!I$7:W$7),0)</f>
        <v>89.00953472945308</v>
      </c>
      <c r="P20" s="47">
        <f>O20-J20</f>
        <v>7.0095347294530796</v>
      </c>
      <c r="Q20" s="44">
        <f>Calc!G130</f>
        <v>2.7113985289457479E-2</v>
      </c>
      <c r="R20" s="48">
        <f>RANK(M20,$M$13:$M$22,0)</f>
        <v>5</v>
      </c>
      <c r="S20" s="49" t="str">
        <f>IF(M20&gt;0,"Value accretive","Out of the money")</f>
        <v>Value accretive</v>
      </c>
    </row>
    <row r="21" spans="3:19">
      <c r="C21" s="34" t="str">
        <f>Inputs!$C$31</f>
        <v>SE-WN1</v>
      </c>
      <c r="D21" s="34" t="str">
        <f>Inputs!$D$31</f>
        <v>Sweden (SE3)</v>
      </c>
      <c r="E21" s="34" t="str">
        <f>Inputs!$E$31</f>
        <v>Onshore wind</v>
      </c>
      <c r="F21" s="35">
        <f>Inputs!$F$31</f>
        <v>60</v>
      </c>
      <c r="G21" s="110">
        <f>Calc!G23/1000</f>
        <v>2601.7199999999998</v>
      </c>
      <c r="H21" s="36">
        <f>Calc!G35</f>
        <v>0.72270000000000001</v>
      </c>
      <c r="I21" s="37">
        <f>Calc!G47</f>
        <v>46.609642552849976</v>
      </c>
      <c r="J21" s="37">
        <f>Inputs!$N$31</f>
        <v>36</v>
      </c>
      <c r="K21" s="37">
        <f>Calc!G71</f>
        <v>7.9770932640503318</v>
      </c>
      <c r="L21" s="38">
        <f>Calc!G107</f>
        <v>20754.163086945027</v>
      </c>
      <c r="M21" s="92">
        <f>SUMPRODUCT(Calc!I107:W107,Calc!I$7:W$7)</f>
        <v>12515.410720972008</v>
      </c>
      <c r="N21" s="39">
        <f>IF(G21=0,0,M21/(G21*1000)*1000)</f>
        <v>4.8104372188290849</v>
      </c>
      <c r="O21" s="37">
        <f>IFERROR(J21*SUMPRODUCT(Calc!I83:W83,Calc!I$7:W$7)/SUMPRODUCT(Calc!I95:W95,Calc!I$7:W$7),0)</f>
        <v>43.721590359225743</v>
      </c>
      <c r="P21" s="39">
        <f>O21-J21</f>
        <v>7.7215903592257433</v>
      </c>
      <c r="Q21" s="36">
        <f>Calc!G131</f>
        <v>5.8851523302053836E-2</v>
      </c>
      <c r="R21" s="40">
        <f>RANK(M21,$M$13:$M$22,0)</f>
        <v>4</v>
      </c>
      <c r="S21" s="41" t="str">
        <f>IF(M21&gt;0,"Value accretive","Out of the money")</f>
        <v>Value accretive</v>
      </c>
    </row>
    <row r="22" spans="3:19">
      <c r="C22" s="42" t="str">
        <f>Inputs!$C$32</f>
        <v>FI-WN1</v>
      </c>
      <c r="D22" s="42" t="str">
        <f>Inputs!$D$32</f>
        <v>Finland</v>
      </c>
      <c r="E22" s="42" t="str">
        <f>Inputs!$E$32</f>
        <v>Onshore wind</v>
      </c>
      <c r="F22" s="43">
        <f>Inputs!$F$32</f>
        <v>50</v>
      </c>
      <c r="G22" s="111">
        <f>Calc!G24/1000</f>
        <v>2299.5</v>
      </c>
      <c r="H22" s="44">
        <f>Calc!G36</f>
        <v>0.63875000000000004</v>
      </c>
      <c r="I22" s="45">
        <f>Calc!G48</f>
        <v>41.982493607613435</v>
      </c>
      <c r="J22" s="45">
        <f>Inputs!$N$32</f>
        <v>38</v>
      </c>
      <c r="K22" s="45">
        <f>Calc!G72</f>
        <v>1.2036915805471295</v>
      </c>
      <c r="L22" s="46">
        <f>Calc!G108</f>
        <v>2767.8887894681438</v>
      </c>
      <c r="M22" s="93">
        <f>SUMPRODUCT(Calc!I108:W108,Calc!I$7:W$7)</f>
        <v>3111.3369573337695</v>
      </c>
      <c r="N22" s="47">
        <f>IF(G22=0,0,M22/(G22*1000)*1000)</f>
        <v>1.3530493400016392</v>
      </c>
      <c r="O22" s="45">
        <f>IFERROR(J22*SUMPRODUCT(Calc!I84:W84,Calc!I$7:W$7)/SUMPRODUCT(Calc!I96:W96,Calc!I$7:W$7),0)</f>
        <v>40.1718800732746</v>
      </c>
      <c r="P22" s="47">
        <f>O22-J22</f>
        <v>2.1718800732746004</v>
      </c>
      <c r="Q22" s="44">
        <f>Calc!G132</f>
        <v>7.8487612778442226E-3</v>
      </c>
      <c r="R22" s="48">
        <f>RANK(M22,$M$13:$M$22,0)</f>
        <v>7</v>
      </c>
      <c r="S22" s="49" t="str">
        <f>IF(M22&gt;0,"Value accretive","Out of the money")</f>
        <v>Value accretive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D5C33"/>
  </sheetPr>
  <dimension ref="A1:W22"/>
  <sheetViews>
    <sheetView showGridLines="0" tabSelected="1" zoomScaleNormal="100" workbookViewId="0">
      <selection activeCell="C15" sqref="C15"/>
    </sheetView>
  </sheetViews>
  <sheetFormatPr defaultColWidth="8.625" defaultRowHeight="14.25" customHeight="1"/>
  <cols>
    <col min="1" max="2" width="2.625" customWidth="1"/>
    <col min="3" max="3" width="34" customWidth="1"/>
    <col min="4" max="4" width="13.375" customWidth="1"/>
    <col min="5" max="8" width="11" customWidth="1"/>
    <col min="9" max="23" width="9.5" customWidth="1"/>
  </cols>
  <sheetData>
    <row r="1" spans="1:23" ht="24" customHeight="1">
      <c r="A1" s="1"/>
      <c r="B1" s="1"/>
      <c r="C1" s="58" t="s">
        <v>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s="1"/>
      <c r="B2" s="1"/>
      <c r="C2" s="2" t="s">
        <v>144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4" spans="1:23">
      <c r="C4" s="14" t="s">
        <v>145</v>
      </c>
      <c r="D4" s="94" t="s">
        <v>66</v>
      </c>
    </row>
    <row r="5" spans="1:23">
      <c r="C5" s="3" t="s">
        <v>146</v>
      </c>
      <c r="D5" s="95">
        <f>MATCH(D4,Inputs!$C$23:$C$32,0)</f>
        <v>1</v>
      </c>
    </row>
    <row r="6" spans="1:23">
      <c r="C6" s="3" t="s">
        <v>147</v>
      </c>
      <c r="D6" s="96" t="str">
        <f>INDEX(Inputs!$D$23:$D$32,$D$5)&amp;" - "&amp;INDEX(Inputs!$E$23:$E$32,$D$5)</f>
        <v>Spain - Solar PV</v>
      </c>
      <c r="E6" s="73"/>
    </row>
    <row r="7" spans="1:23">
      <c r="C7" s="3" t="s">
        <v>54</v>
      </c>
      <c r="D7" s="97">
        <f>INDEX(Inputs!$F$23:$F$32,$D$5)</f>
        <v>95</v>
      </c>
    </row>
    <row r="8" spans="1:23">
      <c r="C8" s="3" t="s">
        <v>137</v>
      </c>
      <c r="D8" s="98">
        <f>INDEX(Results!$M$13:$M$22,$D$5)</f>
        <v>17459.18372991827</v>
      </c>
    </row>
    <row r="9" spans="1:23">
      <c r="C9" s="3" t="s">
        <v>148</v>
      </c>
      <c r="D9" s="95">
        <f>INDEX(Results!$R$13:$R$22,$D$5)</f>
        <v>2</v>
      </c>
    </row>
    <row r="10" spans="1:23">
      <c r="G10" s="15" t="s">
        <v>95</v>
      </c>
    </row>
    <row r="11" spans="1:23">
      <c r="C11" s="70" t="s">
        <v>149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</row>
    <row r="12" spans="1:23" s="59" customFormat="1">
      <c r="C12" s="60"/>
    </row>
    <row r="13" spans="1:23">
      <c r="C13" s="14" t="s">
        <v>98</v>
      </c>
      <c r="I13" s="77">
        <f>Calc!I5</f>
        <v>2027</v>
      </c>
      <c r="J13" s="77">
        <f>Calc!J5</f>
        <v>2028</v>
      </c>
      <c r="K13" s="77">
        <f>Calc!K5</f>
        <v>2029</v>
      </c>
      <c r="L13" s="77">
        <f>Calc!L5</f>
        <v>2030</v>
      </c>
      <c r="M13" s="77">
        <f>Calc!M5</f>
        <v>2031</v>
      </c>
      <c r="N13" s="77">
        <f>Calc!N5</f>
        <v>2032</v>
      </c>
      <c r="O13" s="77">
        <f>Calc!O5</f>
        <v>2033</v>
      </c>
      <c r="P13" s="77">
        <f>Calc!P5</f>
        <v>2034</v>
      </c>
      <c r="Q13" s="77">
        <f>Calc!Q5</f>
        <v>2035</v>
      </c>
      <c r="R13" s="77">
        <f>Calc!R5</f>
        <v>2036</v>
      </c>
      <c r="S13" s="77">
        <f>Calc!S5</f>
        <v>2037</v>
      </c>
      <c r="T13" s="77">
        <f>Calc!T5</f>
        <v>2038</v>
      </c>
      <c r="U13" s="77">
        <f>Calc!U5</f>
        <v>2039</v>
      </c>
      <c r="V13" s="77">
        <f>Calc!V5</f>
        <v>2040</v>
      </c>
      <c r="W13" s="77">
        <f>Calc!W5</f>
        <v>2041</v>
      </c>
    </row>
    <row r="14" spans="1:23">
      <c r="C14" s="3" t="s">
        <v>107</v>
      </c>
      <c r="D14" s="81" t="s">
        <v>12</v>
      </c>
      <c r="G14" s="50">
        <f>INDEX(Calc!G15:G24,$D$5)</f>
        <v>2531638.3742742762</v>
      </c>
      <c r="I14" s="17">
        <f>INDEX(Calc!I15:I24,$D$5)</f>
        <v>174762</v>
      </c>
      <c r="J14" s="17">
        <f>INDEX(Calc!J15:J24,$D$5)</f>
        <v>173888.19</v>
      </c>
      <c r="K14" s="17">
        <f>INDEX(Calc!K15:K24,$D$5)</f>
        <v>173018.74905000001</v>
      </c>
      <c r="L14" s="17">
        <f>INDEX(Calc!L15:L24,$D$5)</f>
        <v>172153.65530474999</v>
      </c>
      <c r="M14" s="17">
        <f>INDEX(Calc!M15:M24,$D$5)</f>
        <v>171292.88702822625</v>
      </c>
      <c r="N14" s="17">
        <f>INDEX(Calc!N15:N24,$D$5)</f>
        <v>170436.42259308512</v>
      </c>
      <c r="O14" s="17">
        <f>INDEX(Calc!O15:O24,$D$5)</f>
        <v>169584.24048011971</v>
      </c>
      <c r="P14" s="17">
        <f>INDEX(Calc!P15:P24,$D$5)</f>
        <v>168736.3192777191</v>
      </c>
      <c r="Q14" s="17">
        <f>INDEX(Calc!Q15:Q24,$D$5)</f>
        <v>167892.63768133053</v>
      </c>
      <c r="R14" s="17">
        <f>INDEX(Calc!R15:R24,$D$5)</f>
        <v>167053.17449292386</v>
      </c>
      <c r="S14" s="17">
        <f>INDEX(Calc!S15:S24,$D$5)</f>
        <v>166217.90862045923</v>
      </c>
      <c r="T14" s="17">
        <f>INDEX(Calc!T15:T24,$D$5)</f>
        <v>165386.81907735695</v>
      </c>
      <c r="U14" s="17">
        <f>INDEX(Calc!U15:U24,$D$5)</f>
        <v>164559.88498197016</v>
      </c>
      <c r="V14" s="17">
        <f>INDEX(Calc!V15:V24,$D$5)</f>
        <v>163737.08555706032</v>
      </c>
      <c r="W14" s="17">
        <f>INDEX(Calc!W15:W24,$D$5)</f>
        <v>162918.40012927502</v>
      </c>
    </row>
    <row r="15" spans="1:23">
      <c r="C15" s="99" t="s">
        <v>108</v>
      </c>
      <c r="D15" s="100" t="s">
        <v>34</v>
      </c>
      <c r="E15" s="101"/>
      <c r="F15" s="101"/>
      <c r="G15" s="102">
        <f>INDEX(Calc!G27:G36,$D$5)</f>
        <v>0.70323288174285448</v>
      </c>
      <c r="H15" s="101"/>
      <c r="I15" s="103">
        <f>INDEX(Calc!I27:I36,$D$5)</f>
        <v>0.72817500000000002</v>
      </c>
      <c r="J15" s="103">
        <f>INDEX(Calc!J27:J36,$D$5)</f>
        <v>0.72453412500000003</v>
      </c>
      <c r="K15" s="103">
        <f>INDEX(Calc!K27:K36,$D$5)</f>
        <v>0.72091145437500004</v>
      </c>
      <c r="L15" s="103">
        <f>INDEX(Calc!L27:L36,$D$5)</f>
        <v>0.71730689710312501</v>
      </c>
      <c r="M15" s="103">
        <f>INDEX(Calc!M27:M36,$D$5)</f>
        <v>0.71372036261760941</v>
      </c>
      <c r="N15" s="103">
        <f>INDEX(Calc!N27:N36,$D$5)</f>
        <v>0.71015176080452136</v>
      </c>
      <c r="O15" s="103">
        <f>INDEX(Calc!O27:O36,$D$5)</f>
        <v>0.7066010020004988</v>
      </c>
      <c r="P15" s="103">
        <f>INDEX(Calc!P27:P36,$D$5)</f>
        <v>0.70306799699049627</v>
      </c>
      <c r="Q15" s="103">
        <f>INDEX(Calc!Q27:Q36,$D$5)</f>
        <v>0.69955265700554381</v>
      </c>
      <c r="R15" s="103">
        <f>INDEX(Calc!R27:R36,$D$5)</f>
        <v>0.6960548937205161</v>
      </c>
      <c r="S15" s="103">
        <f>INDEX(Calc!S27:S36,$D$5)</f>
        <v>0.69257461925191344</v>
      </c>
      <c r="T15" s="103">
        <f>INDEX(Calc!T27:T36,$D$5)</f>
        <v>0.68911174615565396</v>
      </c>
      <c r="U15" s="103">
        <f>INDEX(Calc!U27:U36,$D$5)</f>
        <v>0.68566618742487562</v>
      </c>
      <c r="V15" s="103">
        <f>INDEX(Calc!V27:V36,$D$5)</f>
        <v>0.68223785648775137</v>
      </c>
      <c r="W15" s="103">
        <f>INDEX(Calc!W27:W36,$D$5)</f>
        <v>0.67882666720531259</v>
      </c>
    </row>
    <row r="16" spans="1:23">
      <c r="C16" s="3" t="s">
        <v>109</v>
      </c>
      <c r="D16" s="81" t="s">
        <v>14</v>
      </c>
      <c r="G16" s="53">
        <f>INDEX(Calc!G39:G48,$D$5)</f>
        <v>51.173411329981917</v>
      </c>
      <c r="I16" s="19">
        <f>INDEX(Calc!I39:I48,$D$5)</f>
        <v>54.8</v>
      </c>
      <c r="J16" s="19">
        <f>INDEX(Calc!J39:J48,$D$5)</f>
        <v>54.251999999999995</v>
      </c>
      <c r="K16" s="19">
        <f>INDEX(Calc!K39:K48,$D$5)</f>
        <v>53.709479999999992</v>
      </c>
      <c r="L16" s="19">
        <f>INDEX(Calc!L39:L48,$D$5)</f>
        <v>53.172385199999994</v>
      </c>
      <c r="M16" s="19">
        <f>INDEX(Calc!M39:M48,$D$5)</f>
        <v>52.640661347999995</v>
      </c>
      <c r="N16" s="19">
        <f>INDEX(Calc!N39:N48,$D$5)</f>
        <v>52.114254734519996</v>
      </c>
      <c r="O16" s="19">
        <f>INDEX(Calc!O39:O48,$D$5)</f>
        <v>51.593112187174789</v>
      </c>
      <c r="P16" s="19">
        <f>INDEX(Calc!P39:P48,$D$5)</f>
        <v>51.077181065303044</v>
      </c>
      <c r="Q16" s="19">
        <f>INDEX(Calc!Q39:Q48,$D$5)</f>
        <v>50.566409254650011</v>
      </c>
      <c r="R16" s="19">
        <f>INDEX(Calc!R39:R48,$D$5)</f>
        <v>50.060745162103508</v>
      </c>
      <c r="S16" s="19">
        <f>INDEX(Calc!S39:S48,$D$5)</f>
        <v>49.560137710482472</v>
      </c>
      <c r="T16" s="19">
        <f>INDEX(Calc!T39:T48,$D$5)</f>
        <v>49.064536333377646</v>
      </c>
      <c r="U16" s="19">
        <f>INDEX(Calc!U39:U48,$D$5)</f>
        <v>48.57389097004387</v>
      </c>
      <c r="V16" s="19">
        <f>INDEX(Calc!V39:V48,$D$5)</f>
        <v>48.088152060343425</v>
      </c>
      <c r="W16" s="19">
        <f>INDEX(Calc!W39:W48,$D$5)</f>
        <v>47.60727053974</v>
      </c>
    </row>
    <row r="17" spans="3:23">
      <c r="C17" s="104" t="s">
        <v>150</v>
      </c>
      <c r="D17" s="100" t="s">
        <v>14</v>
      </c>
      <c r="E17" s="101"/>
      <c r="F17" s="101"/>
      <c r="G17" s="105">
        <f>INDEX(Calc!G51:G60,$D$5)</f>
        <v>40.740860571250465</v>
      </c>
      <c r="H17" s="101"/>
      <c r="I17" s="106">
        <f>INDEX(Calc!I51:I60,$D$5)</f>
        <v>38</v>
      </c>
      <c r="J17" s="106">
        <f>INDEX(Calc!J51:J60,$D$5)</f>
        <v>38.380000000000003</v>
      </c>
      <c r="K17" s="106">
        <f>INDEX(Calc!K51:K60,$D$5)</f>
        <v>38.763800000000003</v>
      </c>
      <c r="L17" s="106">
        <f>INDEX(Calc!L51:L60,$D$5)</f>
        <v>39.151437999999999</v>
      </c>
      <c r="M17" s="106">
        <f>INDEX(Calc!M51:M60,$D$5)</f>
        <v>39.542952380000003</v>
      </c>
      <c r="N17" s="106">
        <f>INDEX(Calc!N51:N60,$D$5)</f>
        <v>39.9383819038</v>
      </c>
      <c r="O17" s="106">
        <f>INDEX(Calc!O51:O60,$D$5)</f>
        <v>40.337765722838007</v>
      </c>
      <c r="P17" s="106">
        <f>INDEX(Calc!P51:P60,$D$5)</f>
        <v>40.741143380066376</v>
      </c>
      <c r="Q17" s="106">
        <f>INDEX(Calc!Q51:Q60,$D$5)</f>
        <v>41.148554813867051</v>
      </c>
      <c r="R17" s="106">
        <f>INDEX(Calc!R51:R60,$D$5)</f>
        <v>41.560040362005722</v>
      </c>
      <c r="S17" s="106">
        <f>INDEX(Calc!S51:S60,$D$5)</f>
        <v>41.975640765625784</v>
      </c>
      <c r="T17" s="106">
        <f>INDEX(Calc!T51:T60,$D$5)</f>
        <v>42.395397173282028</v>
      </c>
      <c r="U17" s="106">
        <f>INDEX(Calc!U51:U60,$D$5)</f>
        <v>42.819351145014849</v>
      </c>
      <c r="V17" s="106">
        <f>INDEX(Calc!V51:V60,$D$5)</f>
        <v>43.247544656465003</v>
      </c>
      <c r="W17" s="106">
        <f>INDEX(Calc!W51:W60,$D$5)</f>
        <v>43.680020103029655</v>
      </c>
    </row>
    <row r="18" spans="3:23">
      <c r="C18" s="3" t="s">
        <v>151</v>
      </c>
      <c r="D18" s="81" t="s">
        <v>14</v>
      </c>
      <c r="G18" s="53">
        <f>INDEX(Calc!G63:G72,$D$5)</f>
        <v>10.432550758731452</v>
      </c>
      <c r="I18" s="19">
        <f>INDEX(Calc!I63:I72,$D$5)</f>
        <v>16.799999999999997</v>
      </c>
      <c r="J18" s="19">
        <f>INDEX(Calc!J63:J72,$D$5)</f>
        <v>15.871999999999993</v>
      </c>
      <c r="K18" s="19">
        <f>INDEX(Calc!K63:K72,$D$5)</f>
        <v>14.945679999999989</v>
      </c>
      <c r="L18" s="19">
        <f>INDEX(Calc!L63:L72,$D$5)</f>
        <v>14.020947199999995</v>
      </c>
      <c r="M18" s="19">
        <f>INDEX(Calc!M63:M72,$D$5)</f>
        <v>13.097708967999992</v>
      </c>
      <c r="N18" s="19">
        <f>INDEX(Calc!N63:N72,$D$5)</f>
        <v>12.175872830719996</v>
      </c>
      <c r="O18" s="19">
        <f>INDEX(Calc!O63:O72,$D$5)</f>
        <v>11.255346464336782</v>
      </c>
      <c r="P18" s="19">
        <f>INDEX(Calc!P63:P72,$D$5)</f>
        <v>10.336037685236668</v>
      </c>
      <c r="Q18" s="19">
        <f>INDEX(Calc!Q63:Q72,$D$5)</f>
        <v>9.4178544407829605</v>
      </c>
      <c r="R18" s="19">
        <f>INDEX(Calc!R63:R72,$D$5)</f>
        <v>8.5007048000977861</v>
      </c>
      <c r="S18" s="19">
        <f>INDEX(Calc!S63:S72,$D$5)</f>
        <v>7.5844969448566886</v>
      </c>
      <c r="T18" s="19">
        <f>INDEX(Calc!T63:T72,$D$5)</f>
        <v>6.669139160095618</v>
      </c>
      <c r="U18" s="19">
        <f>INDEX(Calc!U63:U72,$D$5)</f>
        <v>5.7545398250290205</v>
      </c>
      <c r="V18" s="19">
        <f>INDEX(Calc!V63:V72,$D$5)</f>
        <v>4.8406074038784226</v>
      </c>
      <c r="W18" s="19">
        <f>INDEX(Calc!W63:W72,$D$5)</f>
        <v>3.9272504367103451</v>
      </c>
    </row>
    <row r="19" spans="3:23">
      <c r="C19" s="104" t="s">
        <v>152</v>
      </c>
      <c r="D19" s="100" t="s">
        <v>16</v>
      </c>
      <c r="E19" s="101"/>
      <c r="F19" s="101"/>
      <c r="G19" s="107">
        <f>INDEX(Calc!G99:G108,$D$5)</f>
        <v>26411.445842368761</v>
      </c>
      <c r="H19" s="101"/>
      <c r="I19" s="108">
        <f>INDEX(Calc!I99:I108,$D$5)</f>
        <v>2936.0015999999996</v>
      </c>
      <c r="J19" s="108">
        <f>INDEX(Calc!J99:J108,$D$5)</f>
        <v>2759.9533516799993</v>
      </c>
      <c r="K19" s="108">
        <f>INDEX(Calc!K99:K108,$D$5)</f>
        <v>2585.8828573016026</v>
      </c>
      <c r="L19" s="108">
        <f>INDEX(Calc!L99:L108,$D$5)</f>
        <v>2413.7573113148974</v>
      </c>
      <c r="M19" s="108">
        <f>INDEX(Calc!M99:M108,$D$5)</f>
        <v>2243.5443825842085</v>
      </c>
      <c r="N19" s="108">
        <f>INDEX(Calc!N99:N108,$D$5)</f>
        <v>2075.2122072162556</v>
      </c>
      <c r="O19" s="108">
        <f>INDEX(Calc!O99:O108,$D$5)</f>
        <v>1908.7293814951527</v>
      </c>
      <c r="P19" s="108">
        <f>INDEX(Calc!P99:P108,$D$5)</f>
        <v>1744.0649549226318</v>
      </c>
      <c r="Q19" s="108">
        <f>INDEX(Calc!Q99:Q108,$D$5)</f>
        <v>1581.1884233618848</v>
      </c>
      <c r="R19" s="108">
        <f>INDEX(Calc!R99:R108,$D$5)</f>
        <v>1420.0697222835706</v>
      </c>
      <c r="S19" s="108">
        <f>INDEX(Calc!S99:S108,$D$5)</f>
        <v>1260.6792201123408</v>
      </c>
      <c r="T19" s="108">
        <f>INDEX(Calc!T99:T108,$D$5)</f>
        <v>1102.9877116724501</v>
      </c>
      <c r="U19" s="108">
        <f>INDEX(Calc!U99:U108,$D$5)</f>
        <v>946.96641173094304</v>
      </c>
      <c r="V19" s="108">
        <f>INDEX(Calc!V99:V108,$D$5)</f>
        <v>792.58694863698111</v>
      </c>
      <c r="W19" s="108">
        <f>INDEX(Calc!W99:W108,$D$5)</f>
        <v>639.82135805584585</v>
      </c>
    </row>
    <row r="20" spans="3:23">
      <c r="C20" s="3" t="s">
        <v>106</v>
      </c>
      <c r="D20" s="81" t="s">
        <v>16</v>
      </c>
      <c r="G20" s="50">
        <f>Calc!G12</f>
        <v>352652.94630395295</v>
      </c>
      <c r="I20" s="17">
        <f>Calc!I12</f>
        <v>25200</v>
      </c>
      <c r="J20" s="17">
        <f>Calc!J12</f>
        <v>24948</v>
      </c>
      <c r="K20" s="17">
        <f>Calc!K12</f>
        <v>24698.52</v>
      </c>
      <c r="L20" s="17">
        <f>Calc!L12</f>
        <v>24451.534800000001</v>
      </c>
      <c r="M20" s="17">
        <f>Calc!M12</f>
        <v>24207.019451999997</v>
      </c>
      <c r="N20" s="17">
        <f>Calc!N12</f>
        <v>23964.949257479999</v>
      </c>
      <c r="O20" s="17">
        <f>Calc!O12</f>
        <v>23725.299764905198</v>
      </c>
      <c r="P20" s="17">
        <f>Calc!P12</f>
        <v>23488.04676725615</v>
      </c>
      <c r="Q20" s="17">
        <f>Calc!Q12</f>
        <v>23253.166299583583</v>
      </c>
      <c r="R20" s="17">
        <f>Calc!R12</f>
        <v>23020.634636587747</v>
      </c>
      <c r="S20" s="17">
        <f>Calc!S12</f>
        <v>22790.428290221869</v>
      </c>
      <c r="T20" s="17">
        <f>Calc!T12</f>
        <v>22562.524007319651</v>
      </c>
      <c r="U20" s="17">
        <f>Calc!U12</f>
        <v>22336.89876724645</v>
      </c>
      <c r="V20" s="17">
        <f>Calc!V12</f>
        <v>22113.52977957399</v>
      </c>
      <c r="W20" s="17">
        <f>Calc!W12</f>
        <v>21892.39448177825</v>
      </c>
    </row>
    <row r="21" spans="3:23">
      <c r="C21" s="104" t="s">
        <v>153</v>
      </c>
      <c r="D21" s="100" t="s">
        <v>16</v>
      </c>
      <c r="E21" s="101"/>
      <c r="F21" s="101"/>
      <c r="G21" s="107">
        <f>INDEX(Calc!G111:G120,$D$5)</f>
        <v>326241.50046158407</v>
      </c>
      <c r="H21" s="101"/>
      <c r="I21" s="108">
        <f>INDEX(Calc!I111:I120,$D$5)</f>
        <v>22263.9984</v>
      </c>
      <c r="J21" s="108">
        <f>INDEX(Calc!J111:J120,$D$5)</f>
        <v>22188.04664832</v>
      </c>
      <c r="K21" s="108">
        <f>INDEX(Calc!K111:K120,$D$5)</f>
        <v>22112.637142698397</v>
      </c>
      <c r="L21" s="108">
        <f>INDEX(Calc!L111:L120,$D$5)</f>
        <v>22037.777488685104</v>
      </c>
      <c r="M21" s="108">
        <f>INDEX(Calc!M111:M120,$D$5)</f>
        <v>21963.475069415788</v>
      </c>
      <c r="N21" s="108">
        <f>INDEX(Calc!N111:N120,$D$5)</f>
        <v>21889.737050263742</v>
      </c>
      <c r="O21" s="108">
        <f>INDEX(Calc!O111:O120,$D$5)</f>
        <v>21816.570383410046</v>
      </c>
      <c r="P21" s="108">
        <f>INDEX(Calc!P111:P120,$D$5)</f>
        <v>21743.981812333517</v>
      </c>
      <c r="Q21" s="108">
        <f>INDEX(Calc!Q111:Q120,$D$5)</f>
        <v>21671.977876221699</v>
      </c>
      <c r="R21" s="108">
        <f>INDEX(Calc!R111:R120,$D$5)</f>
        <v>21600.564914304177</v>
      </c>
      <c r="S21" s="108">
        <f>INDEX(Calc!S111:S120,$D$5)</f>
        <v>21529.74907010953</v>
      </c>
      <c r="T21" s="108">
        <f>INDEX(Calc!T111:T120,$D$5)</f>
        <v>21459.536295647202</v>
      </c>
      <c r="U21" s="108">
        <f>INDEX(Calc!U111:U120,$D$5)</f>
        <v>21389.932355515506</v>
      </c>
      <c r="V21" s="108">
        <f>INDEX(Calc!V111:V120,$D$5)</f>
        <v>21320.942830937009</v>
      </c>
      <c r="W21" s="108">
        <f>INDEX(Calc!W111:W120,$D$5)</f>
        <v>21252.573123722403</v>
      </c>
    </row>
    <row r="22" spans="3:23">
      <c r="C22" s="3" t="s">
        <v>154</v>
      </c>
      <c r="D22" s="81" t="s">
        <v>34</v>
      </c>
      <c r="G22" s="51">
        <f>INDEX(Calc!G123:G132,$D$5)</f>
        <v>7.4893591898717984E-2</v>
      </c>
      <c r="I22" s="52">
        <f>INDEX(Calc!I123:I132,$D$5)</f>
        <v>0.11650799999999999</v>
      </c>
      <c r="J22" s="52">
        <f>INDEX(Calc!J123:J132,$D$5)</f>
        <v>0.11062824080808079</v>
      </c>
      <c r="K22" s="52">
        <f>INDEX(Calc!K123:K132,$D$5)</f>
        <v>0.10469788705159672</v>
      </c>
      <c r="L22" s="52">
        <f>INDEX(Calc!L123:L132,$D$5)</f>
        <v>9.8715983722825335E-2</v>
      </c>
      <c r="M22" s="52">
        <f>INDEX(Calc!M123:M132,$D$5)</f>
        <v>9.2681562347356472E-2</v>
      </c>
      <c r="N22" s="52">
        <f>INDEX(Calc!N123:N132,$D$5)</f>
        <v>8.6593640775956798E-2</v>
      </c>
      <c r="O22" s="52">
        <f>INDEX(Calc!O123:O132,$D$5)</f>
        <v>8.0451222973316125E-2</v>
      </c>
      <c r="P22" s="52">
        <f>INDEX(Calc!P123:P132,$D$5)</f>
        <v>7.4253298803626813E-2</v>
      </c>
      <c r="Q22" s="52">
        <f>INDEX(Calc!Q123:Q132,$D$5)</f>
        <v>6.7998843812947768E-2</v>
      </c>
      <c r="R22" s="52">
        <f>INDEX(Calc!R123:R132,$D$5)</f>
        <v>6.168681900830783E-2</v>
      </c>
      <c r="S22" s="52">
        <f>INDEX(Calc!S123:S132,$D$5)</f>
        <v>5.5316170633494831E-2</v>
      </c>
      <c r="T22" s="52">
        <f>INDEX(Calc!T123:T132,$D$5)</f>
        <v>4.8885829941482738E-2</v>
      </c>
      <c r="U22" s="52">
        <f>INDEX(Calc!U123:U132,$D$5)</f>
        <v>4.2394712963445061E-2</v>
      </c>
      <c r="V22" s="52">
        <f>INDEX(Calc!V123:V132,$D$5)</f>
        <v>3.5841720274303941E-2</v>
      </c>
      <c r="W22" s="52">
        <f>INDEX(Calc!W123:W132,$D$5)</f>
        <v>2.9225736754761564E-2</v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Inputs!$C$23:$C$32</xm:f>
          </x14:formula1>
          <x14:formula2>
            <xm:f>0</xm:f>
          </x14:formula2>
          <xm:sqref>D4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2026-10-26T23:05:53Z</dcterms:created>
  <dcterms:modified xsi:type="dcterms:W3CDTF">2026-10-27T01:13:29Z</dcterms:modified>
  <cp:category/>
  <cp:contentStatus/>
</cp:coreProperties>
</file>