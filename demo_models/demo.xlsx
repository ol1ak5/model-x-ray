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Assump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model P&amp;L</t>
        </is>
      </c>
    </row>
    <row r="3">
      <c r="A3" t="inlineStr">
        <is>
          <t>EUR m</t>
        </is>
      </c>
      <c r="F3" t="inlineStr">
        <is>
          <t>2024A</t>
        </is>
      </c>
      <c r="G3" t="inlineStr">
        <is>
          <t>2025A</t>
        </is>
      </c>
      <c r="H3" t="inlineStr">
        <is>
          <t>2026E</t>
        </is>
      </c>
      <c r="I3" t="inlineStr">
        <is>
          <t>2027E</t>
        </is>
      </c>
      <c r="J3" t="inlineStr">
        <is>
          <t>2028E</t>
        </is>
      </c>
    </row>
    <row r="4">
      <c r="A4" t="inlineStr">
        <is>
          <t>Revenue</t>
        </is>
      </c>
      <c r="F4" t="n">
        <v>176.5</v>
      </c>
      <c r="G4" t="n">
        <v>188</v>
      </c>
      <c r="H4">
        <f>G4*(1+Assumptions!$C$4)</f>
        <v/>
      </c>
      <c r="I4">
        <f>H4*(1+Assumptions!$C$4)</f>
        <v/>
      </c>
      <c r="J4">
        <f>I4*(1+Assumptions!$C$4)</f>
        <v/>
      </c>
    </row>
    <row r="5">
      <c r="A5" t="inlineStr">
        <is>
          <t>COGS</t>
        </is>
      </c>
      <c r="F5">
        <f>-F4*Assumptions!$C$5</f>
        <v/>
      </c>
      <c r="G5">
        <f>G4*Assumptions!$C$5</f>
        <v/>
      </c>
      <c r="H5">
        <f>-H4*Assumptions!$C$5</f>
        <v/>
      </c>
      <c r="I5">
        <f>-I4*Assumptions!$C$5</f>
        <v/>
      </c>
      <c r="J5">
        <f>-J4*Assumptions!$C$6</f>
        <v/>
      </c>
    </row>
    <row r="6">
      <c r="A6" t="inlineStr">
        <is>
          <t>Gross profit</t>
        </is>
      </c>
      <c r="F6">
        <f>F4+F5</f>
        <v/>
      </c>
      <c r="G6">
        <f>G4+G5</f>
        <v/>
      </c>
      <c r="H6">
        <f>H4+H5</f>
        <v/>
      </c>
      <c r="I6" t="n">
        <v>95.6544</v>
      </c>
      <c r="J6">
        <f>J4+J5</f>
        <v/>
      </c>
    </row>
    <row r="7">
      <c r="A7" t="inlineStr">
        <is>
          <t>Direct costs</t>
        </is>
      </c>
      <c r="F7">
        <f>-F4*Assumptions!$C$6</f>
        <v/>
      </c>
      <c r="G7">
        <f>-G4*Assumptions!$C$6</f>
        <v/>
      </c>
      <c r="H7">
        <f>-H4*Assumptions!$C$6</f>
        <v/>
      </c>
      <c r="I7">
        <f>-I4*Assumptions!$C$6</f>
        <v/>
      </c>
      <c r="J7">
        <f>-J4*Assumptions!$C$6</f>
        <v/>
      </c>
    </row>
    <row r="8">
      <c r="A8" t="inlineStr">
        <is>
          <t>Overhead</t>
        </is>
      </c>
      <c r="F8">
        <f>-F4*Assumptions!$C$7</f>
        <v/>
      </c>
      <c r="G8">
        <f>-G4*Assumptions!$C$7</f>
        <v/>
      </c>
      <c r="H8">
        <f>-H4*Assumptions!$C$7</f>
        <v/>
      </c>
      <c r="I8">
        <f>-I4*Assumptions!$C$7</f>
        <v/>
      </c>
      <c r="J8">
        <f>-J4*Assumptions!$C$7</f>
        <v/>
      </c>
    </row>
    <row r="9">
      <c r="A9" t="inlineStr">
        <is>
          <t>Operating expenses</t>
        </is>
      </c>
      <c r="F9">
        <f>SUM(F7:F8)</f>
        <v/>
      </c>
      <c r="G9">
        <f>SUM(G7:G8)</f>
        <v/>
      </c>
      <c r="H9">
        <f>SUM(H7:H8)</f>
        <v/>
      </c>
      <c r="I9">
        <f>SUM(I7:I8)</f>
        <v/>
      </c>
      <c r="J9">
        <f>SUM(J7:J8)</f>
        <v/>
      </c>
    </row>
    <row r="10">
      <c r="A10" t="inlineStr">
        <is>
          <t>EBITDA</t>
        </is>
      </c>
      <c r="F10">
        <f>F6+F9</f>
        <v/>
      </c>
      <c r="G10">
        <f>G6+G9</f>
        <v/>
      </c>
      <c r="H10">
        <f>H6+H9</f>
        <v/>
      </c>
      <c r="I10">
        <f>I6+I9</f>
        <v/>
      </c>
      <c r="J10">
        <f>J6+J9</f>
        <v/>
      </c>
    </row>
    <row r="11">
      <c r="A11" t="inlineStr">
        <is>
          <t>EBITDA margin</t>
        </is>
      </c>
      <c r="F11">
        <f>F10/F4</f>
        <v/>
      </c>
      <c r="G11">
        <f>G10/G4</f>
        <v/>
      </c>
      <c r="H11">
        <f>H10/H4</f>
        <v/>
      </c>
      <c r="I11">
        <f>I10/I4</f>
        <v/>
      </c>
      <c r="J11">
        <f>J10/J4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C7"/>
  <sheetViews>
    <sheetView workbookViewId="0">
      <selection activeCell="A1" sqref="A1"/>
    </sheetView>
  </sheetViews>
  <sheetFormatPr baseColWidth="8" defaultRowHeight="15"/>
  <sheetData>
    <row r="4">
      <c r="B4" t="inlineStr">
        <is>
          <t>Revenue growth</t>
        </is>
      </c>
      <c r="C4" t="n">
        <v>0.06</v>
      </c>
    </row>
    <row r="5">
      <c r="B5" t="inlineStr">
        <is>
          <t>COGS % of revenue</t>
        </is>
      </c>
      <c r="C5" t="n">
        <v>0.52</v>
      </c>
    </row>
    <row r="6">
      <c r="B6" t="inlineStr">
        <is>
          <t>Direct cost % of revenue</t>
        </is>
      </c>
      <c r="C6" t="n">
        <v>0.18</v>
      </c>
    </row>
    <row r="7">
      <c r="B7" t="inlineStr">
        <is>
          <t>Overhead % of revenue</t>
        </is>
      </c>
      <c r="C7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summary</t>
        </is>
      </c>
    </row>
    <row r="3">
      <c r="A3" t="inlineStr">
        <is>
          <t>EUR m</t>
        </is>
      </c>
      <c r="F3" t="inlineStr">
        <is>
          <t>2024A</t>
        </is>
      </c>
      <c r="G3" t="inlineStr">
        <is>
          <t>2025A</t>
        </is>
      </c>
      <c r="H3" t="inlineStr">
        <is>
          <t>2026E</t>
        </is>
      </c>
      <c r="I3" t="inlineStr">
        <is>
          <t>2027E</t>
        </is>
      </c>
      <c r="J3" t="inlineStr">
        <is>
          <t>2028E</t>
        </is>
      </c>
    </row>
    <row r="5">
      <c r="A5" t="inlineStr">
        <is>
          <t>EBITDA</t>
        </is>
      </c>
      <c r="F5">
        <f>'P&amp;L'!F10</f>
        <v/>
      </c>
      <c r="G5">
        <f>'P&amp;L'!G10</f>
        <v/>
      </c>
      <c r="H5">
        <f>'P&amp;L'!H10</f>
        <v/>
      </c>
      <c r="I5">
        <f>'P&amp;L'!I10</f>
        <v/>
      </c>
      <c r="J5">
        <f>'P&amp;L'!J10</f>
        <v/>
      </c>
    </row>
    <row r="6">
      <c r="A6" t="inlineStr">
        <is>
          <t>YoY EBITDA change</t>
        </is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2026-10-10T21:00:18Z</dcterms:created>
  <dcterms:modified xsi:type="dcterms:W3CDTF">2026-10-10T21:00:18Z</dcterms:modified>
</cp:coreProperties>
</file>